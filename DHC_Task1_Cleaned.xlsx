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7E7E4BE-A8D6-470D-971C-4F268724D86D}" xr6:coauthVersionLast="47" xr6:coauthVersionMax="47" xr10:uidLastSave="{00000000-0000-0000-0000-000000000000}"/>
  <bookViews>
    <workbookView xWindow="-110" yWindow="-110" windowWidth="19420" windowHeight="10300" firstSheet="3" activeTab="7" xr2:uid="{00000000-000D-0000-FFFF-FFFF00000000}"/>
  </bookViews>
  <sheets>
    <sheet name="README" sheetId="1" r:id="rId1"/>
    <sheet name="Inventory_Transactions" sheetId="2" r:id="rId2"/>
    <sheet name="Daily_Usage" sheetId="3" r:id="rId3"/>
    <sheet name="Revenue" sheetId="4" r:id="rId4"/>
    <sheet name="Dim_Products" sheetId="5" r:id="rId5"/>
    <sheet name="KPI Summary" sheetId="6" r:id="rId6"/>
    <sheet name="KPI Summary T2" sheetId="7" r:id="rId7"/>
    <sheet name="Recommendati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A2" i="8"/>
  <c r="F2" i="7"/>
  <c r="E2" i="7"/>
  <c r="B2" i="7"/>
  <c r="D2" i="7"/>
  <c r="C2" i="7"/>
  <c r="A2" i="7"/>
  <c r="E2" i="6"/>
  <c r="D2" i="6"/>
  <c r="C2" i="6"/>
  <c r="B2" i="6"/>
  <c r="A2" i="6"/>
</calcChain>
</file>

<file path=xl/sharedStrings.xml><?xml version="1.0" encoding="utf-8"?>
<sst xmlns="http://schemas.openxmlformats.org/spreadsheetml/2006/main" count="14067" uniqueCount="4155">
  <si>
    <t>Sheet</t>
  </si>
  <si>
    <t>Type</t>
  </si>
  <si>
    <t>Description</t>
  </si>
  <si>
    <t>Inventory_Transactions</t>
  </si>
  <si>
    <t>Fact Table</t>
  </si>
  <si>
    <t>All stock movements: receipts and dispatches (Jul 2024 - Jun 2025)</t>
  </si>
  <si>
    <t>Daily_Usage</t>
  </si>
  <si>
    <t>Daily consumption by product and department</t>
  </si>
  <si>
    <t>Revenue</t>
  </si>
  <si>
    <t>Daily test revenue by test type</t>
  </si>
  <si>
    <t>ANC_Visits</t>
  </si>
  <si>
    <t>Daily antenatal care attendance</t>
  </si>
  <si>
    <t>Procurement_Orders</t>
  </si>
  <si>
    <t>Purchase orders and supplier delivery performance</t>
  </si>
  <si>
    <t>Dim_Products</t>
  </si>
  <si>
    <t>Dimension</t>
  </si>
  <si>
    <t>35 products with cost, supplier, lead time</t>
  </si>
  <si>
    <t>Dim_Date</t>
  </si>
  <si>
    <t>365 dates with month, quarter, day of week</t>
  </si>
  <si>
    <t>Dim_Department</t>
  </si>
  <si>
    <t>4 departments: Lab, OPD, ANC, Stores</t>
  </si>
  <si>
    <t>Dim_Supplier</t>
  </si>
  <si>
    <t>4 suppliers including MedSupply Ghana</t>
  </si>
  <si>
    <t>Dim_Staff</t>
  </si>
  <si>
    <t>7 staff members across departments</t>
  </si>
  <si>
    <t>Expert_T1_Findings</t>
  </si>
  <si>
    <t>Expert Answer</t>
  </si>
  <si>
    <t>Task 1: Cleaned data summary + product performance</t>
  </si>
  <si>
    <t>Expert_T2_Impact</t>
  </si>
  <si>
    <t>Task 2: Revenue and ANC impact analysis</t>
  </si>
  <si>
    <t>Expert_T3_Summary</t>
  </si>
  <si>
    <t>Task 3: Recommendation summary with reorder points</t>
  </si>
  <si>
    <t>TransactionID</t>
  </si>
  <si>
    <t>Date</t>
  </si>
  <si>
    <t>ProductID</t>
  </si>
  <si>
    <t>TransactionType</t>
  </si>
  <si>
    <t>QuantityPacks</t>
  </si>
  <si>
    <t>QuantityPieces</t>
  </si>
  <si>
    <t>Department</t>
  </si>
  <si>
    <t>SupplierID</t>
  </si>
  <si>
    <t>RecordedBy</t>
  </si>
  <si>
    <t>Recorded</t>
  </si>
  <si>
    <t>BalanceAfter</t>
  </si>
  <si>
    <t>T00001</t>
  </si>
  <si>
    <t>2024-07-01</t>
  </si>
  <si>
    <t>Dispatch</t>
  </si>
  <si>
    <t>S001</t>
  </si>
  <si>
    <t>T00002</t>
  </si>
  <si>
    <t>T00003</t>
  </si>
  <si>
    <t>T00004</t>
  </si>
  <si>
    <t>T00005</t>
  </si>
  <si>
    <t>T00006</t>
  </si>
  <si>
    <t>T00007</t>
  </si>
  <si>
    <t>T00008</t>
  </si>
  <si>
    <t>S003</t>
  </si>
  <si>
    <t>T00009</t>
  </si>
  <si>
    <t>T00010</t>
  </si>
  <si>
    <t>T00011</t>
  </si>
  <si>
    <t>T00012</t>
  </si>
  <si>
    <t>T00013</t>
  </si>
  <si>
    <t>T00014</t>
  </si>
  <si>
    <t>T00015</t>
  </si>
  <si>
    <t>S005</t>
  </si>
  <si>
    <t>T00016</t>
  </si>
  <si>
    <t>T00017</t>
  </si>
  <si>
    <t>T00018</t>
  </si>
  <si>
    <t>T00019</t>
  </si>
  <si>
    <t>T00020</t>
  </si>
  <si>
    <t>T00021</t>
  </si>
  <si>
    <t>T00022</t>
  </si>
  <si>
    <t>2024-07-02</t>
  </si>
  <si>
    <t>Receipt</t>
  </si>
  <si>
    <t>S006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</si>
  <si>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</si>
  <si>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</si>
  <si>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</si>
  <si>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</si>
  <si>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</si>
  <si>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</si>
  <si>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</si>
  <si>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</si>
  <si>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</si>
  <si>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</si>
  <si>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</si>
  <si>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</si>
  <si>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</si>
  <si>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</si>
  <si>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</si>
  <si>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</si>
  <si>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</si>
  <si>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</si>
  <si>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</si>
  <si>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</si>
  <si>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</si>
  <si>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</si>
  <si>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</si>
  <si>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</si>
  <si>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</si>
  <si>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</si>
  <si>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2024-07-03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</si>
  <si>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</si>
  <si>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</si>
  <si>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</si>
  <si>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</si>
  <si>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</si>
  <si>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</si>
  <si>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</si>
  <si>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</si>
  <si>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</si>
  <si>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</si>
  <si>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</si>
  <si>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</si>
  <si>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</si>
  <si>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</si>
  <si>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</si>
  <si>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</si>
  <si>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</si>
  <si>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2024-07-04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</si>
  <si>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</si>
  <si>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</si>
  <si>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</si>
  <si>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</si>
  <si>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</si>
  <si>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</si>
  <si>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</si>
  <si>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</si>
  <si>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</si>
  <si>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</si>
  <si>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</si>
  <si>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</si>
  <si>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</si>
  <si>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</si>
  <si>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</si>
  <si>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</si>
  <si>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</si>
  <si>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</si>
  <si>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</si>
  <si>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</si>
  <si>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</si>
  <si>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</si>
  <si>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</si>
  <si>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2024-07-05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</si>
  <si>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</si>
  <si>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</si>
  <si>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</si>
  <si>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</si>
  <si>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</si>
  <si>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</si>
  <si>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</si>
  <si>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</si>
  <si>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</si>
  <si>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</si>
  <si>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</si>
  <si>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</si>
  <si>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</si>
  <si>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</si>
  <si>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</si>
  <si>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</si>
  <si>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</si>
  <si>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</si>
  <si>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</si>
  <si>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</si>
  <si>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</si>
  <si>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2024-07-06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</si>
  <si>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</si>
  <si>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</si>
  <si>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</si>
  <si>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</si>
  <si>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</si>
  <si>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</si>
  <si>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</si>
  <si>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</si>
  <si>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</si>
  <si>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</si>
  <si>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</si>
  <si>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</si>
  <si>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</si>
  <si>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</si>
  <si>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</si>
  <si>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</si>
  <si>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</si>
  <si>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</si>
  <si>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</si>
  <si>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2024-07-07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</si>
  <si>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</si>
  <si>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</si>
  <si>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</si>
  <si>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</si>
  <si>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</si>
  <si>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</si>
  <si>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</si>
  <si>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</si>
  <si>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</si>
  <si>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</si>
  <si>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</si>
  <si>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</si>
  <si>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</si>
  <si>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</si>
  <si>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</si>
  <si>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</si>
  <si>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2024-07-08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</si>
  <si>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</si>
  <si>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</si>
  <si>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</si>
  <si>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</si>
  <si>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</si>
  <si>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</si>
  <si>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</si>
  <si>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</si>
  <si>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</si>
  <si>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</si>
  <si>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</si>
  <si>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</si>
  <si>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</si>
  <si>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</si>
  <si>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</si>
  <si>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</si>
  <si>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</si>
  <si>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</si>
  <si>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</si>
  <si>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2024-07-09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</si>
  <si>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</si>
  <si>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</si>
  <si>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</si>
  <si>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</si>
  <si>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</si>
  <si>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</si>
  <si>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</si>
  <si>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</si>
  <si>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</si>
  <si>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</si>
  <si>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</si>
  <si>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</si>
  <si>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</si>
  <si>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</si>
  <si>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</si>
  <si>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</si>
  <si>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2024-07-10</t>
  </si>
  <si>
    <t>T00180</t>
  </si>
  <si>
    <t>T00181</t>
  </si>
  <si>
    <t>T00182</t>
  </si>
  <si>
    <t>T00183</t>
  </si>
  <si>
    <t>T00184</t>
  </si>
  <si>
    <t>T00185</t>
  </si>
  <si>
    <t>2024-07-11</t>
  </si>
  <si>
    <t>T00186</t>
  </si>
  <si>
    <t>T00187</t>
  </si>
  <si>
    <t>2024-07-12</t>
  </si>
  <si>
    <t>T00188</t>
  </si>
  <si>
    <t>2024-07-13</t>
  </si>
  <si>
    <t>T00189</t>
  </si>
  <si>
    <t>2024-07-14</t>
  </si>
  <si>
    <t>T00190</t>
  </si>
  <si>
    <t>T00191</t>
  </si>
  <si>
    <t>T00192</t>
  </si>
  <si>
    <t>2024-07-15</t>
  </si>
  <si>
    <t>T00193</t>
  </si>
  <si>
    <t>2024-07-16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</si>
  <si>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</si>
  <si>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</si>
  <si>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</si>
  <si>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</si>
  <si>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</si>
  <si>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</si>
  <si>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</si>
  <si>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</si>
  <si>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2024-07-17</t>
  </si>
  <si>
    <t>T00202</t>
  </si>
  <si>
    <t>T00203</t>
  </si>
  <si>
    <t>T00204</t>
  </si>
  <si>
    <t>T00205</t>
  </si>
  <si>
    <t>T00206</t>
  </si>
  <si>
    <t>T00207</t>
  </si>
  <si>
    <t>2024-07-18</t>
  </si>
  <si>
    <t>T00208</t>
  </si>
  <si>
    <t>T00209</t>
  </si>
  <si>
    <t>T00210</t>
  </si>
  <si>
    <t>2024-07-19</t>
  </si>
  <si>
    <t>T00211</t>
  </si>
  <si>
    <t>2024-07-26</t>
  </si>
  <si>
    <t>T00212</t>
  </si>
  <si>
    <t>T00213</t>
  </si>
  <si>
    <t>2024-08-05</t>
  </si>
  <si>
    <t>T00214</t>
  </si>
  <si>
    <t>T00215</t>
  </si>
  <si>
    <t>2024-08-14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</si>
  <si>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</si>
  <si>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</si>
  <si>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</si>
  <si>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</si>
  <si>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</si>
  <si>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</si>
  <si>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</si>
  <si>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</si>
  <si>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2024-08-15</t>
  </si>
  <si>
    <t>T00224</t>
  </si>
  <si>
    <t>T00225</t>
  </si>
  <si>
    <t>T00226</t>
  </si>
  <si>
    <t>T00227</t>
  </si>
  <si>
    <t>2024-08-16</t>
  </si>
  <si>
    <t>T00228</t>
  </si>
  <si>
    <t>T00229</t>
  </si>
  <si>
    <t>T00230</t>
  </si>
  <si>
    <t>2024-08-17</t>
  </si>
  <si>
    <t>T00231</t>
  </si>
  <si>
    <t>2024-08-26</t>
  </si>
  <si>
    <t>T00232</t>
  </si>
  <si>
    <t>2024-08-27</t>
  </si>
  <si>
    <t>T00233</t>
  </si>
  <si>
    <t>T00234</t>
  </si>
  <si>
    <t>T00235</t>
  </si>
  <si>
    <t>2024-08-28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</si>
  <si>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</si>
  <si>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</si>
  <si>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</si>
  <si>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</si>
  <si>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</si>
  <si>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</si>
  <si>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</si>
  <si>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</si>
  <si>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2024-08-29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</si>
  <si>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</si>
  <si>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</si>
  <si>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</si>
  <si>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</si>
  <si>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</si>
  <si>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</si>
  <si>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</si>
  <si>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</si>
  <si>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2024-08-30</t>
  </si>
  <si>
    <t>T00252</t>
  </si>
  <si>
    <t>T00253</t>
  </si>
  <si>
    <t>T00254</t>
  </si>
  <si>
    <t>T00255</t>
  </si>
  <si>
    <t>T00256</t>
  </si>
  <si>
    <t>T00257</t>
  </si>
  <si>
    <t>2024-08-31</t>
  </si>
  <si>
    <t>T00258</t>
  </si>
  <si>
    <t>T00259</t>
  </si>
  <si>
    <t>2024-09-01</t>
  </si>
  <si>
    <t>T00260</t>
  </si>
  <si>
    <t>T00261</t>
  </si>
  <si>
    <t>T00262</t>
  </si>
  <si>
    <t>T00263</t>
  </si>
  <si>
    <t>2024-09-03</t>
  </si>
  <si>
    <t>T00264</t>
  </si>
  <si>
    <t>T00265</t>
  </si>
  <si>
    <t>T00266</t>
  </si>
  <si>
    <t>T00267</t>
  </si>
  <si>
    <t>T00268</t>
  </si>
  <si>
    <t>T00269</t>
  </si>
  <si>
    <t>T00270</t>
  </si>
  <si>
    <t>2024-09-04</t>
  </si>
  <si>
    <t>T00271</t>
  </si>
  <si>
    <t>T00272</t>
  </si>
  <si>
    <t>2024-09-06</t>
  </si>
  <si>
    <t>T00273</t>
  </si>
  <si>
    <t>T00274</t>
  </si>
  <si>
    <t>T00275</t>
  </si>
  <si>
    <t>T00276</t>
  </si>
  <si>
    <t>T00277</t>
  </si>
  <si>
    <t>2024-09-07</t>
  </si>
  <si>
    <t>T00278</t>
  </si>
  <si>
    <t>T00279</t>
  </si>
  <si>
    <t>T00280</t>
  </si>
  <si>
    <t>2024-09-08</t>
  </si>
  <si>
    <t>T00281</t>
  </si>
  <si>
    <t>2024-09-09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</si>
  <si>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</si>
  <si>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</si>
  <si>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</si>
  <si>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</si>
  <si>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</si>
  <si>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</si>
  <si>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</si>
  <si>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</si>
  <si>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</si>
  <si>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2024-09-10</t>
  </si>
  <si>
    <t>T00291</t>
  </si>
  <si>
    <t>T00292</t>
  </si>
  <si>
    <t>T00293</t>
  </si>
  <si>
    <t>T00294</t>
  </si>
  <si>
    <t>T00295</t>
  </si>
  <si>
    <t>2024-09-11</t>
  </si>
  <si>
    <t>T00296</t>
  </si>
  <si>
    <t>T00297</t>
  </si>
  <si>
    <t>T00298</t>
  </si>
  <si>
    <t>T00299</t>
  </si>
  <si>
    <t>2024-09-12</t>
  </si>
  <si>
    <t>T00300</t>
  </si>
  <si>
    <t>2024-09-13</t>
  </si>
  <si>
    <t>T00301</t>
  </si>
  <si>
    <t>T00302</t>
  </si>
  <si>
    <t>T00303</t>
  </si>
  <si>
    <t>T00304</t>
  </si>
  <si>
    <t>T00305</t>
  </si>
  <si>
    <t>T00306</t>
  </si>
  <si>
    <t>T00307</t>
  </si>
  <si>
    <t>2024-09-14</t>
  </si>
  <si>
    <t>T00308</t>
  </si>
  <si>
    <t>T00309</t>
  </si>
  <si>
    <t>2024-09-15</t>
  </si>
  <si>
    <t>T00310</t>
  </si>
  <si>
    <t>T00311</t>
  </si>
  <si>
    <t>2024-09-16</t>
  </si>
  <si>
    <t>T00312</t>
  </si>
  <si>
    <t>2024-09-17</t>
  </si>
  <si>
    <t>T00313</t>
  </si>
  <si>
    <t>T00314</t>
  </si>
  <si>
    <t>T00315</t>
  </si>
  <si>
    <t>T00316</t>
  </si>
  <si>
    <t>T00317</t>
  </si>
  <si>
    <t>2024-09-18</t>
  </si>
  <si>
    <t>T00318</t>
  </si>
  <si>
    <t>T00319</t>
  </si>
  <si>
    <t>2024-09-19</t>
  </si>
  <si>
    <t>T00320</t>
  </si>
  <si>
    <t>2024-09-23</t>
  </si>
  <si>
    <t>T00321</t>
  </si>
  <si>
    <t>T00322</t>
  </si>
  <si>
    <t>2024-09-24</t>
  </si>
  <si>
    <t>T00323</t>
  </si>
  <si>
    <t>T00324</t>
  </si>
  <si>
    <t>T00325</t>
  </si>
  <si>
    <t>2024-09-25</t>
  </si>
  <si>
    <t>T00326</t>
  </si>
  <si>
    <t>T00327</t>
  </si>
  <si>
    <t>T00328</t>
  </si>
  <si>
    <t>2024-09-26</t>
  </si>
  <si>
    <t>T00329</t>
  </si>
  <si>
    <t>2024-09-27</t>
  </si>
  <si>
    <t>T00330</t>
  </si>
  <si>
    <t>T00331</t>
  </si>
  <si>
    <t>T00332</t>
  </si>
  <si>
    <t>T00333</t>
  </si>
  <si>
    <t>T00334</t>
  </si>
  <si>
    <t>T00335</t>
  </si>
  <si>
    <t>T00336</t>
  </si>
  <si>
    <t>2024-09-28</t>
  </si>
  <si>
    <t>T00337</t>
  </si>
  <si>
    <t>T00338</t>
  </si>
  <si>
    <t>T00339</t>
  </si>
  <si>
    <t>T00340</t>
  </si>
  <si>
    <t>2024-09-30</t>
  </si>
  <si>
    <t>T00341</t>
  </si>
  <si>
    <t>T00342</t>
  </si>
  <si>
    <t>T00343</t>
  </si>
  <si>
    <t>T00344</t>
  </si>
  <si>
    <t>2024-10-01</t>
  </si>
  <si>
    <t>T00345</t>
  </si>
  <si>
    <t>T00346</t>
  </si>
  <si>
    <t>T00347</t>
  </si>
  <si>
    <t>T00348</t>
  </si>
  <si>
    <t>T00349</t>
  </si>
  <si>
    <t>2024-10-02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</si>
  <si>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</si>
  <si>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</si>
  <si>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</si>
  <si>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</si>
  <si>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</si>
  <si>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</si>
  <si>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</si>
  <si>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</si>
  <si>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2024-10-03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</si>
  <si>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</si>
  <si>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</si>
  <si>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</si>
  <si>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</si>
  <si>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</si>
  <si>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</si>
  <si>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</si>
  <si>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</si>
  <si>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</si>
  <si>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</si>
  <si>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2024-10-04</t>
  </si>
  <si>
    <t>T00368</t>
  </si>
  <si>
    <t>T00369</t>
  </si>
  <si>
    <t>2024-10-06</t>
  </si>
  <si>
    <t>T00370</t>
  </si>
  <si>
    <t>2024-10-07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</si>
  <si>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</si>
  <si>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</si>
  <si>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</si>
  <si>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</si>
  <si>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</si>
  <si>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</si>
  <si>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</si>
  <si>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</si>
  <si>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</si>
  <si>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2024-10-08</t>
  </si>
  <si>
    <t>T00380</t>
  </si>
  <si>
    <t>T00381</t>
  </si>
  <si>
    <t>T00382</t>
  </si>
  <si>
    <t>T00383</t>
  </si>
  <si>
    <t>2024-10-09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</si>
  <si>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</si>
  <si>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</si>
  <si>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</si>
  <si>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</si>
  <si>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</si>
  <si>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</si>
  <si>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</si>
  <si>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</si>
  <si>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</si>
  <si>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</si>
  <si>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</si>
  <si>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</si>
  <si>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</si>
  <si>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2024-10-10</t>
  </si>
  <si>
    <t>T00397</t>
  </si>
  <si>
    <t>T00398</t>
  </si>
  <si>
    <t>T00399</t>
  </si>
  <si>
    <t>T00400</t>
  </si>
  <si>
    <t>T00401</t>
  </si>
  <si>
    <t>2024-10-11</t>
  </si>
  <si>
    <t>T00402</t>
  </si>
  <si>
    <t>T00403</t>
  </si>
  <si>
    <t>T00404</t>
  </si>
  <si>
    <t>T00405</t>
  </si>
  <si>
    <t>2024-10-12</t>
  </si>
  <si>
    <t>T00406</t>
  </si>
  <si>
    <t>T00407</t>
  </si>
  <si>
    <t>T00408</t>
  </si>
  <si>
    <t>2024-10-13</t>
  </si>
  <si>
    <t>T00409</t>
  </si>
  <si>
    <t>T00410</t>
  </si>
  <si>
    <t>2024-10-14</t>
  </si>
  <si>
    <t>T00411</t>
  </si>
  <si>
    <t>T00412</t>
  </si>
  <si>
    <t>T00413</t>
  </si>
  <si>
    <t>T00414</t>
  </si>
  <si>
    <t>T00415</t>
  </si>
  <si>
    <t>2024-10-21</t>
  </si>
  <si>
    <t>T00416</t>
  </si>
  <si>
    <t>T00417</t>
  </si>
  <si>
    <t>T00418</t>
  </si>
  <si>
    <t>T00419</t>
  </si>
  <si>
    <t>T00420</t>
  </si>
  <si>
    <t>T00421</t>
  </si>
  <si>
    <t>2024-10-22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</si>
  <si>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</si>
  <si>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</si>
  <si>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</si>
  <si>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</si>
  <si>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</si>
  <si>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</si>
  <si>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</si>
  <si>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</si>
  <si>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</si>
  <si>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</si>
  <si>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</si>
  <si>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2024-10-23</t>
  </si>
  <si>
    <t>T00433</t>
  </si>
  <si>
    <t>T00434</t>
  </si>
  <si>
    <t>T00435</t>
  </si>
  <si>
    <t>T00436</t>
  </si>
  <si>
    <t>2024-10-24</t>
  </si>
  <si>
    <t>T00437</t>
  </si>
  <si>
    <t>2024-10-25</t>
  </si>
  <si>
    <t>T00438</t>
  </si>
  <si>
    <t>T00439</t>
  </si>
  <si>
    <t>T00440</t>
  </si>
  <si>
    <t>T00441</t>
  </si>
  <si>
    <t>T00442</t>
  </si>
  <si>
    <t>T00443</t>
  </si>
  <si>
    <t>2024-10-26</t>
  </si>
  <si>
    <t>T00444</t>
  </si>
  <si>
    <t>T00445</t>
  </si>
  <si>
    <t>T00446</t>
  </si>
  <si>
    <t>2024-10-27</t>
  </si>
  <si>
    <t>T00447</t>
  </si>
  <si>
    <t>T00448</t>
  </si>
  <si>
    <t>2024-10-28</t>
  </si>
  <si>
    <t>T00449</t>
  </si>
  <si>
    <t>T00450</t>
  </si>
  <si>
    <t>T00451</t>
  </si>
  <si>
    <t>T00452</t>
  </si>
  <si>
    <t>T00453</t>
  </si>
  <si>
    <t>T00454</t>
  </si>
  <si>
    <t>T00455</t>
  </si>
  <si>
    <t>2024-10-29</t>
  </si>
  <si>
    <t>T00456</t>
  </si>
  <si>
    <t>T00457</t>
  </si>
  <si>
    <t>T00458</t>
  </si>
  <si>
    <t>T00459</t>
  </si>
  <si>
    <t>2024-11-02</t>
  </si>
  <si>
    <t>T00460</t>
  </si>
  <si>
    <t>2024-11-06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</si>
  <si>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</si>
  <si>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</si>
  <si>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</si>
  <si>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</si>
  <si>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</si>
  <si>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</si>
  <si>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</si>
  <si>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</si>
  <si>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</si>
  <si>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2024-11-07</t>
  </si>
  <si>
    <t>T00470</t>
  </si>
  <si>
    <t>T00471</t>
  </si>
  <si>
    <t>T00472</t>
  </si>
  <si>
    <t>T00473</t>
  </si>
  <si>
    <t>T00474</t>
  </si>
  <si>
    <t>2024-11-08</t>
  </si>
  <si>
    <t>T00475</t>
  </si>
  <si>
    <t>T00476</t>
  </si>
  <si>
    <t>T00477</t>
  </si>
  <si>
    <t>T00478</t>
  </si>
  <si>
    <t>T00479</t>
  </si>
  <si>
    <t>T00480</t>
  </si>
  <si>
    <t>2024-11-09</t>
  </si>
  <si>
    <t>T00481</t>
  </si>
  <si>
    <t>T00482</t>
  </si>
  <si>
    <t>2024-11-10</t>
  </si>
  <si>
    <t>T00483</t>
  </si>
  <si>
    <t>2024-11-11</t>
  </si>
  <si>
    <t>T00484</t>
  </si>
  <si>
    <t>T00485</t>
  </si>
  <si>
    <t>T00486</t>
  </si>
  <si>
    <t>2024-11-12</t>
  </si>
  <si>
    <t>T00487</t>
  </si>
  <si>
    <t>T00488</t>
  </si>
  <si>
    <t>T00489</t>
  </si>
  <si>
    <t>T00490</t>
  </si>
  <si>
    <t>T00491</t>
  </si>
  <si>
    <t>T00492</t>
  </si>
  <si>
    <t>T00493</t>
  </si>
  <si>
    <t>2024-11-13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</si>
  <si>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</si>
  <si>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</si>
  <si>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</si>
  <si>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</si>
  <si>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</si>
  <si>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</si>
  <si>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</si>
  <si>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</si>
  <si>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2024-11-14</t>
  </si>
  <si>
    <t>T00502</t>
  </si>
  <si>
    <t>T00503</t>
  </si>
  <si>
    <t>T00504</t>
  </si>
  <si>
    <t>T00505</t>
  </si>
  <si>
    <t>T00506</t>
  </si>
  <si>
    <t>2024-11-15</t>
  </si>
  <si>
    <t>T00507</t>
  </si>
  <si>
    <t>T00508</t>
  </si>
  <si>
    <t>T00509</t>
  </si>
  <si>
    <t>T00510</t>
  </si>
  <si>
    <t>2024-11-16</t>
  </si>
  <si>
    <t>T00511</t>
  </si>
  <si>
    <t>T00512</t>
  </si>
  <si>
    <t>T00513</t>
  </si>
  <si>
    <t>T00514</t>
  </si>
  <si>
    <t>T00515</t>
  </si>
  <si>
    <t>2024-11-18</t>
  </si>
  <si>
    <t>T00516</t>
  </si>
  <si>
    <t>2024-11-20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</si>
  <si>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</si>
  <si>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</si>
  <si>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</si>
  <si>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</si>
  <si>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</si>
  <si>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</si>
  <si>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</si>
  <si>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</si>
  <si>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</si>
  <si>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</si>
  <si>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</si>
  <si>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2024-11-21</t>
  </si>
  <si>
    <t>T00528</t>
  </si>
  <si>
    <t>T00529</t>
  </si>
  <si>
    <t>T00530</t>
  </si>
  <si>
    <t>T00531</t>
  </si>
  <si>
    <t>2024-11-22</t>
  </si>
  <si>
    <t>T00532</t>
  </si>
  <si>
    <t>T00533</t>
  </si>
  <si>
    <t>T00534</t>
  </si>
  <si>
    <t>2024-11-23</t>
  </si>
  <si>
    <t>T00535</t>
  </si>
  <si>
    <t>T00536</t>
  </si>
  <si>
    <t>T00537</t>
  </si>
  <si>
    <t>T00538</t>
  </si>
  <si>
    <t>2024-11-25</t>
  </si>
  <si>
    <t>T00539</t>
  </si>
  <si>
    <t>2024-11-26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</si>
  <si>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</si>
  <si>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</si>
  <si>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</si>
  <si>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</si>
  <si>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</si>
  <si>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</si>
  <si>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</si>
  <si>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</si>
  <si>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2024-11-27</t>
  </si>
  <si>
    <t>T00548</t>
  </si>
  <si>
    <t>T00549</t>
  </si>
  <si>
    <t>T00550</t>
  </si>
  <si>
    <t>T00551</t>
  </si>
  <si>
    <t>T00552</t>
  </si>
  <si>
    <t>T00553</t>
  </si>
  <si>
    <t>T00554</t>
  </si>
  <si>
    <t>2024-11-28</t>
  </si>
  <si>
    <t>T00555</t>
  </si>
  <si>
    <t>T00556</t>
  </si>
  <si>
    <t>T00557</t>
  </si>
  <si>
    <t>T00558</t>
  </si>
  <si>
    <t>2024-11-29</t>
  </si>
  <si>
    <t>T00559</t>
  </si>
  <si>
    <t>T00560</t>
  </si>
  <si>
    <t>T00561</t>
  </si>
  <si>
    <t>2024-12-03</t>
  </si>
  <si>
    <t>T00562</t>
  </si>
  <si>
    <t>T00563</t>
  </si>
  <si>
    <t>T00564</t>
  </si>
  <si>
    <t>T00565</t>
  </si>
  <si>
    <t>T00566</t>
  </si>
  <si>
    <t>T00567</t>
  </si>
  <si>
    <t>2024-12-04</t>
  </si>
  <si>
    <t>T00568</t>
  </si>
  <si>
    <t>T00569</t>
  </si>
  <si>
    <t>T00570</t>
  </si>
  <si>
    <t>T00571</t>
  </si>
  <si>
    <t>2024-12-05</t>
  </si>
  <si>
    <t>T00572</t>
  </si>
  <si>
    <t>T00573</t>
  </si>
  <si>
    <t>T00574</t>
  </si>
  <si>
    <t>2024-12-06</t>
  </si>
  <si>
    <t>T00575</t>
  </si>
  <si>
    <t>T00576</t>
  </si>
  <si>
    <t>T00577</t>
  </si>
  <si>
    <t>T00578</t>
  </si>
  <si>
    <t>2024-12-07</t>
  </si>
  <si>
    <t>T00579</t>
  </si>
  <si>
    <t>T00580</t>
  </si>
  <si>
    <t>2024-12-08</t>
  </si>
  <si>
    <t>T00581</t>
  </si>
  <si>
    <t>T00582</t>
  </si>
  <si>
    <t>2024-12-09</t>
  </si>
  <si>
    <t>T00583</t>
  </si>
  <si>
    <t>2024-12-17</t>
  </si>
  <si>
    <t>T00584</t>
  </si>
  <si>
    <t>T00585</t>
  </si>
  <si>
    <t>T00586</t>
  </si>
  <si>
    <t>T00587</t>
  </si>
  <si>
    <t>T00588</t>
  </si>
  <si>
    <t>T00589</t>
  </si>
  <si>
    <t>T00590</t>
  </si>
  <si>
    <t>2024-12-18</t>
  </si>
  <si>
    <t>T00591</t>
  </si>
  <si>
    <t>T00592</t>
  </si>
  <si>
    <t>2024-12-19</t>
  </si>
  <si>
    <t>T00593</t>
  </si>
  <si>
    <t>T00594</t>
  </si>
  <si>
    <t>T00595</t>
  </si>
  <si>
    <t>2024-12-20</t>
  </si>
  <si>
    <t>T00596</t>
  </si>
  <si>
    <t>T00597</t>
  </si>
  <si>
    <t>T00598</t>
  </si>
  <si>
    <t>T00599</t>
  </si>
  <si>
    <t>T00600</t>
  </si>
  <si>
    <t>T00601</t>
  </si>
  <si>
    <t>2024-12-21</t>
  </si>
  <si>
    <t>T00602</t>
  </si>
  <si>
    <t>T00603</t>
  </si>
  <si>
    <t>T00604</t>
  </si>
  <si>
    <t>2024-12-22</t>
  </si>
  <si>
    <t>T00605</t>
  </si>
  <si>
    <t>2024-12-24</t>
  </si>
  <si>
    <t>T00606</t>
  </si>
  <si>
    <t>2025-01-07</t>
  </si>
  <si>
    <t>T00607</t>
  </si>
  <si>
    <t>T00608</t>
  </si>
  <si>
    <t>T00609</t>
  </si>
  <si>
    <t>T00610</t>
  </si>
  <si>
    <t>T00611</t>
  </si>
  <si>
    <t>T00612</t>
  </si>
  <si>
    <t>2025-01-08</t>
  </si>
  <si>
    <t>T00613</t>
  </si>
  <si>
    <t>T00614</t>
  </si>
  <si>
    <t>T00615</t>
  </si>
  <si>
    <t>T00616</t>
  </si>
  <si>
    <t>T00617</t>
  </si>
  <si>
    <t>2025-01-09</t>
  </si>
  <si>
    <t>T00618</t>
  </si>
  <si>
    <t>T00619</t>
  </si>
  <si>
    <t>T00620</t>
  </si>
  <si>
    <t>T00621</t>
  </si>
  <si>
    <t>2025-01-10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</si>
  <si>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</si>
  <si>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</si>
  <si>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</si>
  <si>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</si>
  <si>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</si>
  <si>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</si>
  <si>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</si>
  <si>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</si>
  <si>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</si>
  <si>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</si>
  <si>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2025-01-11</t>
  </si>
  <si>
    <t>T00632</t>
  </si>
  <si>
    <t>T00633</t>
  </si>
  <si>
    <t>T00634</t>
  </si>
  <si>
    <t>T00635</t>
  </si>
  <si>
    <t>T00636</t>
  </si>
  <si>
    <t>2025-01-12</t>
  </si>
  <si>
    <t>T00637</t>
  </si>
  <si>
    <t>T00638</t>
  </si>
  <si>
    <t>T00639</t>
  </si>
  <si>
    <t>2025-01-13</t>
  </si>
  <si>
    <t>T00640</t>
  </si>
  <si>
    <t>T00641</t>
  </si>
  <si>
    <t>T00642</t>
  </si>
  <si>
    <t>T00643</t>
  </si>
  <si>
    <t>2025-01-14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</si>
  <si>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</si>
  <si>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</si>
  <si>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</si>
  <si>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</si>
  <si>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</si>
  <si>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</si>
  <si>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</si>
  <si>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</si>
  <si>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</si>
  <si>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</si>
  <si>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2025-01-15</t>
  </si>
  <si>
    <t>T00654</t>
  </si>
  <si>
    <t>T00655</t>
  </si>
  <si>
    <t>T00656</t>
  </si>
  <si>
    <t>T00657</t>
  </si>
  <si>
    <t>T00658</t>
  </si>
  <si>
    <t>T00659</t>
  </si>
  <si>
    <t>T00660</t>
  </si>
  <si>
    <t>2025-01-16</t>
  </si>
  <si>
    <t>T00661</t>
  </si>
  <si>
    <t>T00662</t>
  </si>
  <si>
    <t>T00663</t>
  </si>
  <si>
    <t>T00664</t>
  </si>
  <si>
    <t>T00665</t>
  </si>
  <si>
    <t>2025-01-17</t>
  </si>
  <si>
    <t>T00666</t>
  </si>
  <si>
    <t>2025-01-19</t>
  </si>
  <si>
    <t>T00667</t>
  </si>
  <si>
    <t>2025-01-21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</si>
  <si>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</si>
  <si>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</si>
  <si>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</si>
  <si>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</si>
  <si>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</si>
  <si>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</si>
  <si>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</si>
  <si>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</si>
  <si>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</si>
  <si>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2025-01-22</t>
  </si>
  <si>
    <t>T00677</t>
  </si>
  <si>
    <t>T00678</t>
  </si>
  <si>
    <t>T00679</t>
  </si>
  <si>
    <t>2025-01-23</t>
  </si>
  <si>
    <t>T00680</t>
  </si>
  <si>
    <t>T00681</t>
  </si>
  <si>
    <t>2025-01-24</t>
  </si>
  <si>
    <t>T00682</t>
  </si>
  <si>
    <t>2025-01-27</t>
  </si>
  <si>
    <t>T00683</t>
  </si>
  <si>
    <t>T00684</t>
  </si>
  <si>
    <t>T00685</t>
  </si>
  <si>
    <t>T00686</t>
  </si>
  <si>
    <t>T00687</t>
  </si>
  <si>
    <t>T00688</t>
  </si>
  <si>
    <t>T00689</t>
  </si>
  <si>
    <t>2025-01-28</t>
  </si>
  <si>
    <t>T00690</t>
  </si>
  <si>
    <t>T00691</t>
  </si>
  <si>
    <t>T00692</t>
  </si>
  <si>
    <t>2025-01-29</t>
  </si>
  <si>
    <t>T00693</t>
  </si>
  <si>
    <t>T00694</t>
  </si>
  <si>
    <t>T00695</t>
  </si>
  <si>
    <t>2025-01-30</t>
  </si>
  <si>
    <t>T00696</t>
  </si>
  <si>
    <t>2025-01-31</t>
  </si>
  <si>
    <t>T00697</t>
  </si>
  <si>
    <t>T00698</t>
  </si>
  <si>
    <t>2025-02-01</t>
  </si>
  <si>
    <t>T00699</t>
  </si>
  <si>
    <t>T00700</t>
  </si>
  <si>
    <t>2025-02-02</t>
  </si>
  <si>
    <t>T00701</t>
  </si>
  <si>
    <t>2025-02-04</t>
  </si>
  <si>
    <t>T00702</t>
  </si>
  <si>
    <t>2025-02-05</t>
  </si>
  <si>
    <t>T00703</t>
  </si>
  <si>
    <t>T00704</t>
  </si>
  <si>
    <t>T00705</t>
  </si>
  <si>
    <t>T00706</t>
  </si>
  <si>
    <t>T00707</t>
  </si>
  <si>
    <t>T00708</t>
  </si>
  <si>
    <t>T00709</t>
  </si>
  <si>
    <t>2025-02-06</t>
  </si>
  <si>
    <t>T00710</t>
  </si>
  <si>
    <t>T00711</t>
  </si>
  <si>
    <t>T00712</t>
  </si>
  <si>
    <t>T00713</t>
  </si>
  <si>
    <t>T00714</t>
  </si>
  <si>
    <t>T00715</t>
  </si>
  <si>
    <t>T00716</t>
  </si>
  <si>
    <t>2025-02-07</t>
  </si>
  <si>
    <t>T00717</t>
  </si>
  <si>
    <t>T00718</t>
  </si>
  <si>
    <t>T00719</t>
  </si>
  <si>
    <t>T00720</t>
  </si>
  <si>
    <t>2025-02-08</t>
  </si>
  <si>
    <t>T00721</t>
  </si>
  <si>
    <t>T00722</t>
  </si>
  <si>
    <t>T00723</t>
  </si>
  <si>
    <t>2025-02-09</t>
  </si>
  <si>
    <t>T00724</t>
  </si>
  <si>
    <t>2025-02-11</t>
  </si>
  <si>
    <t>T00725</t>
  </si>
  <si>
    <t>2025-02-25</t>
  </si>
  <si>
    <t>T00726</t>
  </si>
  <si>
    <t>T00727</t>
  </si>
  <si>
    <t>T00728</t>
  </si>
  <si>
    <t>T00729</t>
  </si>
  <si>
    <t>2025-02-26</t>
  </si>
  <si>
    <t>T00730</t>
  </si>
  <si>
    <t>T00731</t>
  </si>
  <si>
    <t>T00732</t>
  </si>
  <si>
    <t>T00733</t>
  </si>
  <si>
    <t>T00734</t>
  </si>
  <si>
    <t>2025-02-27</t>
  </si>
  <si>
    <t>T00735</t>
  </si>
  <si>
    <t>T00736</t>
  </si>
  <si>
    <t>T00737</t>
  </si>
  <si>
    <t>2025-02-28</t>
  </si>
  <si>
    <t>T00738</t>
  </si>
  <si>
    <t>T00739</t>
  </si>
  <si>
    <t>2025-03-01</t>
  </si>
  <si>
    <t>T00740</t>
  </si>
  <si>
    <t>T00741</t>
  </si>
  <si>
    <t>T00742</t>
  </si>
  <si>
    <t>2025-03-04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</si>
  <si>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</si>
  <si>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</si>
  <si>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</si>
  <si>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</si>
  <si>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</si>
  <si>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</si>
  <si>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</si>
  <si>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</si>
  <si>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</si>
  <si>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2025-03-05</t>
  </si>
  <si>
    <t>T00752</t>
  </si>
  <si>
    <t>T00753</t>
  </si>
  <si>
    <t>2025-03-07</t>
  </si>
  <si>
    <t>T00754</t>
  </si>
  <si>
    <t>2025-03-11</t>
  </si>
  <si>
    <t>T00755</t>
  </si>
  <si>
    <t>T00756</t>
  </si>
  <si>
    <t>T00757</t>
  </si>
  <si>
    <t>2025-03-19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</si>
  <si>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</si>
  <si>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</si>
  <si>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</si>
  <si>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</si>
  <si>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</si>
  <si>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</si>
  <si>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</si>
  <si>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</si>
  <si>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2025-03-20</t>
  </si>
  <si>
    <t>T00766</t>
  </si>
  <si>
    <t>T00767</t>
  </si>
  <si>
    <t>2025-04-01</t>
  </si>
  <si>
    <t>T00768</t>
  </si>
  <si>
    <t>T00769</t>
  </si>
  <si>
    <t>T00770</t>
  </si>
  <si>
    <t>T00771</t>
  </si>
  <si>
    <t>T00772</t>
  </si>
  <si>
    <t>T00773</t>
  </si>
  <si>
    <t>2025-04-02</t>
  </si>
  <si>
    <t>T00774</t>
  </si>
  <si>
    <t>T00775</t>
  </si>
  <si>
    <t>T00776</t>
  </si>
  <si>
    <t>T00777</t>
  </si>
  <si>
    <t>2025-04-03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</si>
  <si>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</si>
  <si>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</si>
  <si>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</si>
  <si>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</si>
  <si>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</si>
  <si>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</si>
  <si>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</si>
  <si>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</si>
  <si>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</si>
  <si>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</si>
  <si>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2025-04-04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</si>
  <si>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</si>
  <si>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</si>
  <si>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</si>
  <si>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</si>
  <si>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</si>
  <si>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</si>
  <si>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</si>
  <si>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</si>
  <si>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2025-04-05</t>
  </si>
  <si>
    <t>T00796</t>
  </si>
  <si>
    <t>T00797</t>
  </si>
  <si>
    <t>T00798</t>
  </si>
  <si>
    <t>2025-04-07</t>
  </si>
  <si>
    <t>T00799</t>
  </si>
  <si>
    <t>T00800</t>
  </si>
  <si>
    <t>T00801</t>
  </si>
  <si>
    <t>T00802</t>
  </si>
  <si>
    <t>T00803</t>
  </si>
  <si>
    <t>2025-04-08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</si>
  <si>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</si>
  <si>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</si>
  <si>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</si>
  <si>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</si>
  <si>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</si>
  <si>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</si>
  <si>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</si>
  <si>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</si>
  <si>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</si>
  <si>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</si>
  <si>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</si>
  <si>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2025-04-09</t>
  </si>
  <si>
    <t>T00815</t>
  </si>
  <si>
    <t>T00816</t>
  </si>
  <si>
    <t>T00817</t>
  </si>
  <si>
    <t>T00818</t>
  </si>
  <si>
    <t>T00819</t>
  </si>
  <si>
    <t>T00820</t>
  </si>
  <si>
    <t>2025-04-10</t>
  </si>
  <si>
    <t>T00821</t>
  </si>
  <si>
    <t>T00822</t>
  </si>
  <si>
    <t>T00823</t>
  </si>
  <si>
    <t>T00824</t>
  </si>
  <si>
    <t>2025-04-11</t>
  </si>
  <si>
    <t>T00825</t>
  </si>
  <si>
    <t>T00826</t>
  </si>
  <si>
    <t>T00827</t>
  </si>
  <si>
    <t>T00828</t>
  </si>
  <si>
    <t>T00829</t>
  </si>
  <si>
    <t>T00830</t>
  </si>
  <si>
    <t>2025-04-12</t>
  </si>
  <si>
    <t>T00831</t>
  </si>
  <si>
    <t>T00832</t>
  </si>
  <si>
    <t>2025-04-13</t>
  </si>
  <si>
    <t>T00833</t>
  </si>
  <si>
    <t>T00834</t>
  </si>
  <si>
    <t>2025-04-15</t>
  </si>
  <si>
    <t>T00835</t>
  </si>
  <si>
    <t>T00836</t>
  </si>
  <si>
    <t>T00837</t>
  </si>
  <si>
    <t>T00838</t>
  </si>
  <si>
    <t>T00839</t>
  </si>
  <si>
    <t>T00840</t>
  </si>
  <si>
    <t>2025-04-16</t>
  </si>
  <si>
    <t>T00841</t>
  </si>
  <si>
    <t>T00842</t>
  </si>
  <si>
    <t>T00843</t>
  </si>
  <si>
    <t>2025-04-17</t>
  </si>
  <si>
    <t>T00844</t>
  </si>
  <si>
    <t>T00845</t>
  </si>
  <si>
    <t>T00846</t>
  </si>
  <si>
    <t>2025-04-18</t>
  </si>
  <si>
    <t>T00847</t>
  </si>
  <si>
    <t>T00848</t>
  </si>
  <si>
    <t>2025-04-20</t>
  </si>
  <si>
    <t>T00849</t>
  </si>
  <si>
    <t>2025-04-25</t>
  </si>
  <si>
    <t>T00850</t>
  </si>
  <si>
    <t>T00851</t>
  </si>
  <si>
    <t>T00852</t>
  </si>
  <si>
    <t>T00853</t>
  </si>
  <si>
    <t>2025-04-26</t>
  </si>
  <si>
    <t>T00854</t>
  </si>
  <si>
    <t>T00855</t>
  </si>
  <si>
    <t>2025-04-27</t>
  </si>
  <si>
    <t>T00856</t>
  </si>
  <si>
    <t>T00857</t>
  </si>
  <si>
    <t>2025-04-29</t>
  </si>
  <si>
    <t>T00858</t>
  </si>
  <si>
    <t>T00859</t>
  </si>
  <si>
    <t>2025-05-02</t>
  </si>
  <si>
    <t>T00860</t>
  </si>
  <si>
    <t>T00861</t>
  </si>
  <si>
    <t>T00862</t>
  </si>
  <si>
    <t>2025-05-04</t>
  </si>
  <si>
    <t>T00863</t>
  </si>
  <si>
    <t>2025-05-05</t>
  </si>
  <si>
    <t>T00864</t>
  </si>
  <si>
    <t>T00865</t>
  </si>
  <si>
    <t>T00866</t>
  </si>
  <si>
    <t>T00867</t>
  </si>
  <si>
    <t>T00868</t>
  </si>
  <si>
    <t>2025-05-06</t>
  </si>
  <si>
    <t>T00869</t>
  </si>
  <si>
    <t>T00870</t>
  </si>
  <si>
    <t>T00871</t>
  </si>
  <si>
    <t>T00872</t>
  </si>
  <si>
    <t>T00873</t>
  </si>
  <si>
    <t>2025-05-07</t>
  </si>
  <si>
    <t>T00874</t>
  </si>
  <si>
    <t>T00875</t>
  </si>
  <si>
    <t>T00876</t>
  </si>
  <si>
    <t>T00877</t>
  </si>
  <si>
    <t>T00878</t>
  </si>
  <si>
    <t>T00879</t>
  </si>
  <si>
    <t>2025-05-08</t>
  </si>
  <si>
    <t>T00880</t>
  </si>
  <si>
    <t>T00881</t>
  </si>
  <si>
    <t>T00882</t>
  </si>
  <si>
    <t>T00883</t>
  </si>
  <si>
    <t>T00884</t>
  </si>
  <si>
    <t>T00885</t>
  </si>
  <si>
    <t>T00886</t>
  </si>
  <si>
    <t>2025-05-09</t>
  </si>
  <si>
    <t>T00887</t>
  </si>
  <si>
    <t>2025-05-10</t>
  </si>
  <si>
    <t>T00888</t>
  </si>
  <si>
    <t>2025-05-11</t>
  </si>
  <si>
    <t>T00889</t>
  </si>
  <si>
    <t>2025-05-15</t>
  </si>
  <si>
    <t>T00890</t>
  </si>
  <si>
    <t>T00891</t>
  </si>
  <si>
    <t>T00892</t>
  </si>
  <si>
    <t>T00893</t>
  </si>
  <si>
    <t>T00894</t>
  </si>
  <si>
    <t>T00895</t>
  </si>
  <si>
    <t>2025-05-16</t>
  </si>
  <si>
    <t>T00896</t>
  </si>
  <si>
    <t>T00897</t>
  </si>
  <si>
    <t>2025-05-17</t>
  </si>
  <si>
    <t>T00898</t>
  </si>
  <si>
    <t>T00899</t>
  </si>
  <si>
    <t>T00900</t>
  </si>
  <si>
    <t>T00901</t>
  </si>
  <si>
    <t>2025-05-18</t>
  </si>
  <si>
    <t>T00902</t>
  </si>
  <si>
    <t>2025-05-19</t>
  </si>
  <si>
    <t>T00903</t>
  </si>
  <si>
    <t>2025-05-20</t>
  </si>
  <si>
    <t>T00904</t>
  </si>
  <si>
    <t>2025-06-02</t>
  </si>
  <si>
    <t>T00905</t>
  </si>
  <si>
    <t>T00906</t>
  </si>
  <si>
    <t>T00907</t>
  </si>
  <si>
    <t>T00908</t>
  </si>
  <si>
    <t>T00909</t>
  </si>
  <si>
    <t>2025-06-03</t>
  </si>
  <si>
    <t>T00910</t>
  </si>
  <si>
    <t>T00911</t>
  </si>
  <si>
    <t>T00912</t>
  </si>
  <si>
    <t>T00913</t>
  </si>
  <si>
    <t>T00914</t>
  </si>
  <si>
    <t>T00915</t>
  </si>
  <si>
    <t>T00916</t>
  </si>
  <si>
    <t>2025-06-04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</si>
  <si>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</si>
  <si>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</si>
  <si>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</si>
  <si>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</si>
  <si>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</si>
  <si>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</si>
  <si>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</si>
  <si>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</si>
  <si>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</si>
  <si>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2025-06-05</t>
  </si>
  <si>
    <t>T00926</t>
  </si>
  <si>
    <t>T00927</t>
  </si>
  <si>
    <t>T00928</t>
  </si>
  <si>
    <t>2025-06-06</t>
  </si>
  <si>
    <t>T00929</t>
  </si>
  <si>
    <t>T00930</t>
  </si>
  <si>
    <t>T00931</t>
  </si>
  <si>
    <t>T00932</t>
  </si>
  <si>
    <t>T00933</t>
  </si>
  <si>
    <t>2025-06-07</t>
  </si>
  <si>
    <t>T00934</t>
  </si>
  <si>
    <t>T00935</t>
  </si>
  <si>
    <t>T00936</t>
  </si>
  <si>
    <t>T00937</t>
  </si>
  <si>
    <t>2025-06-08</t>
  </si>
  <si>
    <t>T00938</t>
  </si>
  <si>
    <t>T00939</t>
  </si>
  <si>
    <t>T00940</t>
  </si>
  <si>
    <t>T00941</t>
  </si>
  <si>
    <t>2025-06-11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</si>
  <si>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</si>
  <si>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</si>
  <si>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</si>
  <si>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</si>
  <si>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</si>
  <si>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</si>
  <si>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</si>
  <si>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</si>
  <si>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2025-06-12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</si>
  <si>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</si>
  <si>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</si>
  <si>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</si>
  <si>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</si>
  <si>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</si>
  <si>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</si>
  <si>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</si>
  <si>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</si>
  <si>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</si>
  <si>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</si>
  <si>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</si>
  <si>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2025-06-13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</si>
  <si>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</si>
  <si>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</si>
  <si>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</si>
  <si>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</si>
  <si>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</si>
  <si>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</si>
  <si>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</si>
  <si>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</si>
  <si>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</si>
  <si>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2025-06-14</t>
  </si>
  <si>
    <t>T00970</t>
  </si>
  <si>
    <t>T00971</t>
  </si>
  <si>
    <t>T00972</t>
  </si>
  <si>
    <t>T00973</t>
  </si>
  <si>
    <t>T00974</t>
  </si>
  <si>
    <t>2025-06-15</t>
  </si>
  <si>
    <t>T00975</t>
  </si>
  <si>
    <t>T00976</t>
  </si>
  <si>
    <t>T00977</t>
  </si>
  <si>
    <t>T00978</t>
  </si>
  <si>
    <t>2025-06-16</t>
  </si>
  <si>
    <t>T00979</t>
  </si>
  <si>
    <t>T00980</t>
  </si>
  <si>
    <t>T00981</t>
  </si>
  <si>
    <t>T00982</t>
  </si>
  <si>
    <t>T00983</t>
  </si>
  <si>
    <t>2025-06-17</t>
  </si>
  <si>
    <t>T00984</t>
  </si>
  <si>
    <t>2025-06-18</t>
  </si>
  <si>
    <t>T00985</t>
  </si>
  <si>
    <t>2025-06-20</t>
  </si>
  <si>
    <t>T00986</t>
  </si>
  <si>
    <t>T00987</t>
  </si>
  <si>
    <t>T00988</t>
  </si>
  <si>
    <t>T00989</t>
  </si>
  <si>
    <t>T00990</t>
  </si>
  <si>
    <t>2025-06-22</t>
  </si>
  <si>
    <t>T00991</t>
  </si>
  <si>
    <t>T00992</t>
  </si>
  <si>
    <t>2025-06-23</t>
  </si>
  <si>
    <t>T00993</t>
  </si>
  <si>
    <t>T00994</t>
  </si>
  <si>
    <t>T00995</t>
  </si>
  <si>
    <t>T00996</t>
  </si>
  <si>
    <t>2025-06-24</t>
  </si>
  <si>
    <t>T00997</t>
  </si>
  <si>
    <t>T00998</t>
  </si>
  <si>
    <t>2025-06-25</t>
  </si>
  <si>
    <t>T00999</t>
  </si>
  <si>
    <t>T01000</t>
  </si>
  <si>
    <t>T01001</t>
  </si>
  <si>
    <t>T01002</t>
  </si>
  <si>
    <t>T01003</t>
  </si>
  <si>
    <t>2025-06-26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</si>
  <si>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</si>
  <si>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</si>
  <si>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</si>
  <si>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</si>
  <si>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</si>
  <si>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</si>
  <si>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</si>
  <si>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</si>
  <si>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</si>
  <si>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2025-06-27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</si>
  <si>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</si>
  <si>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</si>
  <si>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</si>
  <si>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</si>
  <si>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</si>
  <si>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</si>
  <si>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</si>
  <si>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</si>
  <si>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</si>
  <si>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</si>
  <si>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</si>
  <si>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</si>
  <si>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</si>
  <si>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</si>
  <si>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</si>
  <si>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</si>
  <si>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2025-06-28</t>
  </si>
  <si>
    <t>T01029</t>
  </si>
  <si>
    <t>T01030</t>
  </si>
  <si>
    <t>T01031</t>
  </si>
  <si>
    <t>T01032</t>
  </si>
  <si>
    <t>2025-06-29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</si>
  <si>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</si>
  <si>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</si>
  <si>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</si>
  <si>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</si>
  <si>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</si>
  <si>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</si>
  <si>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</si>
  <si>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</si>
  <si>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2025-06-30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</si>
  <si>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</si>
  <si>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</si>
  <si>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</si>
  <si>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</si>
  <si>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</si>
  <si>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</si>
  <si>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</si>
  <si>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</si>
  <si>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</si>
  <si>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</si>
  <si>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</si>
  <si>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</si>
  <si>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</si>
  <si>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UsageID</t>
  </si>
  <si>
    <t>UsageQuantity</t>
  </si>
  <si>
    <t>ProcedureType</t>
  </si>
  <si>
    <t>U00001</t>
  </si>
  <si>
    <t>Malaria Testing</t>
  </si>
  <si>
    <t>U00002</t>
  </si>
  <si>
    <t>U00003</t>
  </si>
  <si>
    <t>Lab Procedures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</si>
  <si>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</si>
  <si>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</si>
  <si>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</si>
  <si>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</si>
  <si>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</si>
  <si>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</si>
  <si>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</si>
  <si>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</si>
  <si>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</si>
  <si>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</si>
  <si>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</si>
  <si>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</si>
  <si>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</si>
  <si>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</si>
  <si>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</si>
  <si>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</si>
  <si>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</si>
  <si>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</si>
  <si>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</si>
  <si>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</si>
  <si>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</si>
  <si>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</si>
  <si>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</si>
  <si>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</si>
  <si>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</si>
  <si>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</si>
  <si>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</si>
  <si>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</si>
  <si>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</si>
  <si>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</si>
  <si>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</si>
  <si>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</si>
  <si>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</si>
  <si>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</si>
  <si>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</si>
  <si>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</si>
  <si>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</si>
  <si>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</si>
  <si>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</si>
  <si>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</si>
  <si>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</si>
  <si>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</si>
  <si>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</si>
  <si>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</si>
  <si>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</si>
  <si>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</si>
  <si>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</si>
  <si>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</si>
  <si>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</si>
  <si>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</si>
  <si>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</si>
  <si>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</si>
  <si>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</si>
  <si>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</si>
  <si>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</si>
  <si>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</si>
  <si>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</si>
  <si>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</si>
  <si>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</si>
  <si>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</si>
  <si>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</si>
  <si>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</si>
  <si>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</si>
  <si>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</si>
  <si>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</si>
  <si>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</si>
  <si>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</si>
  <si>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</si>
  <si>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</si>
  <si>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</si>
  <si>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</si>
  <si>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</si>
  <si>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</si>
  <si>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</si>
  <si>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</si>
  <si>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</si>
  <si>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</si>
  <si>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</si>
  <si>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</si>
  <si>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</si>
  <si>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</si>
  <si>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</si>
  <si>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</si>
  <si>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</si>
  <si>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</si>
  <si>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</si>
  <si>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</si>
  <si>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</si>
  <si>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</si>
  <si>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</si>
  <si>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</si>
  <si>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</si>
  <si>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</si>
  <si>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</si>
  <si>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</si>
  <si>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</si>
  <si>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</si>
  <si>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</si>
  <si>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</si>
  <si>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</si>
  <si>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</si>
  <si>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</si>
  <si>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</si>
  <si>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</si>
  <si>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</si>
  <si>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</si>
  <si>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</si>
  <si>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</si>
  <si>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</si>
  <si>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2024-07-20</t>
  </si>
  <si>
    <t>U00113</t>
  </si>
  <si>
    <t>U00114</t>
  </si>
  <si>
    <t>U00115</t>
  </si>
  <si>
    <t>U00116</t>
  </si>
  <si>
    <t>U00117</t>
  </si>
  <si>
    <t>U00118</t>
  </si>
  <si>
    <t>2024-07-21</t>
  </si>
  <si>
    <t>U00119</t>
  </si>
  <si>
    <t>U00120</t>
  </si>
  <si>
    <t>U00121</t>
  </si>
  <si>
    <t>U00122</t>
  </si>
  <si>
    <t>U00123</t>
  </si>
  <si>
    <t>U00124</t>
  </si>
  <si>
    <t>2024-07-22</t>
  </si>
  <si>
    <t>U00125</t>
  </si>
  <si>
    <t>U00126</t>
  </si>
  <si>
    <t>U00127</t>
  </si>
  <si>
    <t>U00128</t>
  </si>
  <si>
    <t>U00129</t>
  </si>
  <si>
    <t>U00130</t>
  </si>
  <si>
    <t>2024-07-23</t>
  </si>
  <si>
    <t>U00131</t>
  </si>
  <si>
    <t>U00132</t>
  </si>
  <si>
    <t>U00133</t>
  </si>
  <si>
    <t>U00134</t>
  </si>
  <si>
    <t>U00135</t>
  </si>
  <si>
    <t>U00136</t>
  </si>
  <si>
    <t>2024-07-24</t>
  </si>
  <si>
    <t>U00137</t>
  </si>
  <si>
    <t>U00138</t>
  </si>
  <si>
    <t>U00139</t>
  </si>
  <si>
    <t>U00140</t>
  </si>
  <si>
    <t>U00141</t>
  </si>
  <si>
    <t>U00142</t>
  </si>
  <si>
    <t>2024-07-25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</si>
  <si>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</si>
  <si>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</si>
  <si>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</si>
  <si>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</si>
  <si>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</si>
  <si>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</si>
  <si>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</si>
  <si>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</si>
  <si>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</si>
  <si>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</si>
  <si>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</si>
  <si>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</si>
  <si>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2024-07-27</t>
  </si>
  <si>
    <t>U00155</t>
  </si>
  <si>
    <t>U00156</t>
  </si>
  <si>
    <t>U00157</t>
  </si>
  <si>
    <t>U00158</t>
  </si>
  <si>
    <t>U00159</t>
  </si>
  <si>
    <t>U00160</t>
  </si>
  <si>
    <t>2024-07-28</t>
  </si>
  <si>
    <t>U00161</t>
  </si>
  <si>
    <t>U00162</t>
  </si>
  <si>
    <t>U00163</t>
  </si>
  <si>
    <t>U00164</t>
  </si>
  <si>
    <t>U00165</t>
  </si>
  <si>
    <t>U00166</t>
  </si>
  <si>
    <t>2024-07-29</t>
  </si>
  <si>
    <t>U00167</t>
  </si>
  <si>
    <t>U00168</t>
  </si>
  <si>
    <t>U00169</t>
  </si>
  <si>
    <t>U00170</t>
  </si>
  <si>
    <t>U00171</t>
  </si>
  <si>
    <t>U00172</t>
  </si>
  <si>
    <t>2024-07-30</t>
  </si>
  <si>
    <t>U00173</t>
  </si>
  <si>
    <t>U00174</t>
  </si>
  <si>
    <t>U00175</t>
  </si>
  <si>
    <t>U00176</t>
  </si>
  <si>
    <t>U00177</t>
  </si>
  <si>
    <t>U00178</t>
  </si>
  <si>
    <t>2024-07-31</t>
  </si>
  <si>
    <t>U00179</t>
  </si>
  <si>
    <t>U00180</t>
  </si>
  <si>
    <t>U00181</t>
  </si>
  <si>
    <t>U00182</t>
  </si>
  <si>
    <t>U00183</t>
  </si>
  <si>
    <t>U00184</t>
  </si>
  <si>
    <t>2024-08-01</t>
  </si>
  <si>
    <t>U00185</t>
  </si>
  <si>
    <t>U00186</t>
  </si>
  <si>
    <t>U00187</t>
  </si>
  <si>
    <t>U00188</t>
  </si>
  <si>
    <t>U00189</t>
  </si>
  <si>
    <t>U00190</t>
  </si>
  <si>
    <t>2024-08-02</t>
  </si>
  <si>
    <t>U00191</t>
  </si>
  <si>
    <t>U00192</t>
  </si>
  <si>
    <t>U00193</t>
  </si>
  <si>
    <t>U00194</t>
  </si>
  <si>
    <t>U00195</t>
  </si>
  <si>
    <t>U00196</t>
  </si>
  <si>
    <t>2024-08-03</t>
  </si>
  <si>
    <t>U00197</t>
  </si>
  <si>
    <t>U00198</t>
  </si>
  <si>
    <t>U00199</t>
  </si>
  <si>
    <t>U00200</t>
  </si>
  <si>
    <t>U00201</t>
  </si>
  <si>
    <t>U00202</t>
  </si>
  <si>
    <t>2024-08-04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</si>
  <si>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</si>
  <si>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</si>
  <si>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</si>
  <si>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</si>
  <si>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</si>
  <si>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</si>
  <si>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</si>
  <si>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</si>
  <si>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</si>
  <si>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</si>
  <si>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</si>
  <si>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</si>
  <si>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2024-08-06</t>
  </si>
  <si>
    <t>U00215</t>
  </si>
  <si>
    <t>U00216</t>
  </si>
  <si>
    <t>U00217</t>
  </si>
  <si>
    <t>U00218</t>
  </si>
  <si>
    <t>U00219</t>
  </si>
  <si>
    <t>U00220</t>
  </si>
  <si>
    <t>2024-08-07</t>
  </si>
  <si>
    <t>U00221</t>
  </si>
  <si>
    <t>U00222</t>
  </si>
  <si>
    <t>U00223</t>
  </si>
  <si>
    <t>U00224</t>
  </si>
  <si>
    <t>U00225</t>
  </si>
  <si>
    <t>U00226</t>
  </si>
  <si>
    <t>2024-08-08</t>
  </si>
  <si>
    <t>U00227</t>
  </si>
  <si>
    <t>U00228</t>
  </si>
  <si>
    <t>U00229</t>
  </si>
  <si>
    <t>U00230</t>
  </si>
  <si>
    <t>U00231</t>
  </si>
  <si>
    <t>U00232</t>
  </si>
  <si>
    <t>2024-08-09</t>
  </si>
  <si>
    <t>U00233</t>
  </si>
  <si>
    <t>U00234</t>
  </si>
  <si>
    <t>U00235</t>
  </si>
  <si>
    <t>U00236</t>
  </si>
  <si>
    <t>U00237</t>
  </si>
  <si>
    <t>U00238</t>
  </si>
  <si>
    <t>2024-08-10</t>
  </si>
  <si>
    <t>U00239</t>
  </si>
  <si>
    <t>U00240</t>
  </si>
  <si>
    <t>U00241</t>
  </si>
  <si>
    <t>U00242</t>
  </si>
  <si>
    <t>U00243</t>
  </si>
  <si>
    <t>U00244</t>
  </si>
  <si>
    <t>2024-08-11</t>
  </si>
  <si>
    <t>U00245</t>
  </si>
  <si>
    <t>U00246</t>
  </si>
  <si>
    <t>U00247</t>
  </si>
  <si>
    <t>U00248</t>
  </si>
  <si>
    <t>U00249</t>
  </si>
  <si>
    <t>U00250</t>
  </si>
  <si>
    <t>2024-08-12</t>
  </si>
  <si>
    <t>U00251</t>
  </si>
  <si>
    <t>U00252</t>
  </si>
  <si>
    <t>U00253</t>
  </si>
  <si>
    <t>U00254</t>
  </si>
  <si>
    <t>U00255</t>
  </si>
  <si>
    <t>U00256</t>
  </si>
  <si>
    <t>2024-08-13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</si>
  <si>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</si>
  <si>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</si>
  <si>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</si>
  <si>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</si>
  <si>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</si>
  <si>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</si>
  <si>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</si>
  <si>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</si>
  <si>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</si>
  <si>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</si>
  <si>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</si>
  <si>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</si>
  <si>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</si>
  <si>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</si>
  <si>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</si>
  <si>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</si>
  <si>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</si>
  <si>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</si>
  <si>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</si>
  <si>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</si>
  <si>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</si>
  <si>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</si>
  <si>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</si>
  <si>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</si>
  <si>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</si>
  <si>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</si>
  <si>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</si>
  <si>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</si>
  <si>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</si>
  <si>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</si>
  <si>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2024-08-18</t>
  </si>
  <si>
    <t>U00287</t>
  </si>
  <si>
    <t>U00288</t>
  </si>
  <si>
    <t>U00289</t>
  </si>
  <si>
    <t>U00290</t>
  </si>
  <si>
    <t>U00291</t>
  </si>
  <si>
    <t>U00292</t>
  </si>
  <si>
    <t>2024-08-19</t>
  </si>
  <si>
    <t>U00293</t>
  </si>
  <si>
    <t>U00294</t>
  </si>
  <si>
    <t>U00295</t>
  </si>
  <si>
    <t>U00296</t>
  </si>
  <si>
    <t>U00297</t>
  </si>
  <si>
    <t>U00298</t>
  </si>
  <si>
    <t>2024-08-20</t>
  </si>
  <si>
    <t>U00299</t>
  </si>
  <si>
    <t>U00300</t>
  </si>
  <si>
    <t>U00301</t>
  </si>
  <si>
    <t>U00302</t>
  </si>
  <si>
    <t>U00303</t>
  </si>
  <si>
    <t>U00304</t>
  </si>
  <si>
    <t>2024-08-21</t>
  </si>
  <si>
    <t>U00305</t>
  </si>
  <si>
    <t>U00306</t>
  </si>
  <si>
    <t>U00307</t>
  </si>
  <si>
    <t>U00308</t>
  </si>
  <si>
    <t>U00309</t>
  </si>
  <si>
    <t>U00310</t>
  </si>
  <si>
    <t>2024-08-22</t>
  </si>
  <si>
    <t>U00311</t>
  </si>
  <si>
    <t>U00312</t>
  </si>
  <si>
    <t>U00313</t>
  </si>
  <si>
    <t>U00314</t>
  </si>
  <si>
    <t>U00315</t>
  </si>
  <si>
    <t>U00316</t>
  </si>
  <si>
    <t>2024-08-23</t>
  </si>
  <si>
    <t>U00317</t>
  </si>
  <si>
    <t>U00318</t>
  </si>
  <si>
    <t>U00319</t>
  </si>
  <si>
    <t>U00320</t>
  </si>
  <si>
    <t>U00321</t>
  </si>
  <si>
    <t>U00322</t>
  </si>
  <si>
    <t>2024-08-24</t>
  </si>
  <si>
    <t>U00323</t>
  </si>
  <si>
    <t>U00324</t>
  </si>
  <si>
    <t>U00325</t>
  </si>
  <si>
    <t>U00326</t>
  </si>
  <si>
    <t>U00327</t>
  </si>
  <si>
    <t>U00328</t>
  </si>
  <si>
    <t>2024-08-25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</si>
  <si>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</si>
  <si>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</si>
  <si>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</si>
  <si>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</si>
  <si>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</si>
  <si>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</si>
  <si>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</si>
  <si>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</si>
  <si>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</si>
  <si>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</si>
  <si>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</si>
  <si>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</si>
  <si>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</si>
  <si>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</si>
  <si>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</si>
  <si>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</si>
  <si>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</si>
  <si>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</si>
  <si>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</si>
  <si>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</si>
  <si>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</si>
  <si>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</si>
  <si>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</si>
  <si>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</si>
  <si>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</si>
  <si>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</si>
  <si>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</si>
  <si>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</si>
  <si>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</si>
  <si>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</si>
  <si>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</si>
  <si>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</si>
  <si>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</si>
  <si>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</si>
  <si>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</si>
  <si>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</si>
  <si>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</si>
  <si>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</si>
  <si>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</si>
  <si>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</si>
  <si>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</si>
  <si>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</si>
  <si>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</si>
  <si>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</si>
  <si>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</si>
  <si>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</si>
  <si>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</si>
  <si>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</si>
  <si>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2024-09-02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</si>
  <si>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</si>
  <si>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</si>
  <si>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</si>
  <si>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</si>
  <si>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</si>
  <si>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</si>
  <si>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</si>
  <si>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</si>
  <si>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</si>
  <si>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</si>
  <si>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</si>
  <si>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</si>
  <si>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</si>
  <si>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</si>
  <si>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</si>
  <si>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</si>
  <si>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</si>
  <si>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2024-09-05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</si>
  <si>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</si>
  <si>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</si>
  <si>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</si>
  <si>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</si>
  <si>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</si>
  <si>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</si>
  <si>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</si>
  <si>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</si>
  <si>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</si>
  <si>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</si>
  <si>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</si>
  <si>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</si>
  <si>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</si>
  <si>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</si>
  <si>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</si>
  <si>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</si>
  <si>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</si>
  <si>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</si>
  <si>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</si>
  <si>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</si>
  <si>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</si>
  <si>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</si>
  <si>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</si>
  <si>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</si>
  <si>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</si>
  <si>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</si>
  <si>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</si>
  <si>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</si>
  <si>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</si>
  <si>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</si>
  <si>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</si>
  <si>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</si>
  <si>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</si>
  <si>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</si>
  <si>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</si>
  <si>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</si>
  <si>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</si>
  <si>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</si>
  <si>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</si>
  <si>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</si>
  <si>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</si>
  <si>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</si>
  <si>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</si>
  <si>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</si>
  <si>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</si>
  <si>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</si>
  <si>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</si>
  <si>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</si>
  <si>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</si>
  <si>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</si>
  <si>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</si>
  <si>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</si>
  <si>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</si>
  <si>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</si>
  <si>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</si>
  <si>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</si>
  <si>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</si>
  <si>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</si>
  <si>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</si>
  <si>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</si>
  <si>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</si>
  <si>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</si>
  <si>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</si>
  <si>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</si>
  <si>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</si>
  <si>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</si>
  <si>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</si>
  <si>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</si>
  <si>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</si>
  <si>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</si>
  <si>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</si>
  <si>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</si>
  <si>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</si>
  <si>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</si>
  <si>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</si>
  <si>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</si>
  <si>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</si>
  <si>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</si>
  <si>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</si>
  <si>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</si>
  <si>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</si>
  <si>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</si>
  <si>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</si>
  <si>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2024-09-20</t>
  </si>
  <si>
    <t>U00477</t>
  </si>
  <si>
    <t>U00478</t>
  </si>
  <si>
    <t>U00479</t>
  </si>
  <si>
    <t>U00480</t>
  </si>
  <si>
    <t>U00481</t>
  </si>
  <si>
    <t>U00482</t>
  </si>
  <si>
    <t>2024-09-21</t>
  </si>
  <si>
    <t>U00483</t>
  </si>
  <si>
    <t>U00484</t>
  </si>
  <si>
    <t>U00485</t>
  </si>
  <si>
    <t>U00486</t>
  </si>
  <si>
    <t>U00487</t>
  </si>
  <si>
    <t>U00488</t>
  </si>
  <si>
    <t>2024-09-22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</si>
  <si>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</si>
  <si>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</si>
  <si>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</si>
  <si>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</si>
  <si>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</si>
  <si>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</si>
  <si>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</si>
  <si>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</si>
  <si>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</si>
  <si>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</si>
  <si>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</si>
  <si>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</si>
  <si>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</si>
  <si>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</si>
  <si>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</si>
  <si>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</si>
  <si>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</si>
  <si>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</si>
  <si>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</si>
  <si>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</si>
  <si>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</si>
  <si>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</si>
  <si>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</si>
  <si>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</si>
  <si>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</si>
  <si>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</si>
  <si>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</si>
  <si>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</si>
  <si>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</si>
  <si>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</si>
  <si>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</si>
  <si>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</si>
  <si>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</si>
  <si>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</si>
  <si>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</si>
  <si>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</si>
  <si>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</si>
  <si>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</si>
  <si>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</si>
  <si>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</si>
  <si>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2024-09-29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</si>
  <si>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</si>
  <si>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</si>
  <si>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</si>
  <si>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</si>
  <si>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</si>
  <si>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</si>
  <si>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</si>
  <si>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</si>
  <si>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</si>
  <si>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</si>
  <si>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</si>
  <si>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</si>
  <si>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</si>
  <si>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</si>
  <si>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</si>
  <si>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</si>
  <si>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</si>
  <si>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</si>
  <si>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</si>
  <si>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</si>
  <si>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</si>
  <si>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</si>
  <si>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</si>
  <si>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</si>
  <si>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</si>
  <si>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</si>
  <si>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</si>
  <si>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</si>
  <si>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</si>
  <si>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</si>
  <si>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</si>
  <si>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</si>
  <si>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</si>
  <si>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</si>
  <si>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2024-10-05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</si>
  <si>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</si>
  <si>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</si>
  <si>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</si>
  <si>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</si>
  <si>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</si>
  <si>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</si>
  <si>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</si>
  <si>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</si>
  <si>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</si>
  <si>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</si>
  <si>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</si>
  <si>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</si>
  <si>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</si>
  <si>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</si>
  <si>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</si>
  <si>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</si>
  <si>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</si>
  <si>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</si>
  <si>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</si>
  <si>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</si>
  <si>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</si>
  <si>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</si>
  <si>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</si>
  <si>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</si>
  <si>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</si>
  <si>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</si>
  <si>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</si>
  <si>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</si>
  <si>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</si>
  <si>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</si>
  <si>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</si>
  <si>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</si>
  <si>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</si>
  <si>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</si>
  <si>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</si>
  <si>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</si>
  <si>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</si>
  <si>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</si>
  <si>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</si>
  <si>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</si>
  <si>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</si>
  <si>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</si>
  <si>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</si>
  <si>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</si>
  <si>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</si>
  <si>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</si>
  <si>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</si>
  <si>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</si>
  <si>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</si>
  <si>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</si>
  <si>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</si>
  <si>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</si>
  <si>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</si>
  <si>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</si>
  <si>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2024-10-15</t>
  </si>
  <si>
    <t>U00617</t>
  </si>
  <si>
    <t>U00618</t>
  </si>
  <si>
    <t>U00619</t>
  </si>
  <si>
    <t>U00620</t>
  </si>
  <si>
    <t>U00621</t>
  </si>
  <si>
    <t>U00622</t>
  </si>
  <si>
    <t>2024-10-16</t>
  </si>
  <si>
    <t>U00623</t>
  </si>
  <si>
    <t>U00624</t>
  </si>
  <si>
    <t>U00625</t>
  </si>
  <si>
    <t>U00626</t>
  </si>
  <si>
    <t>U00627</t>
  </si>
  <si>
    <t>2024-10-17</t>
  </si>
  <si>
    <t>U00628</t>
  </si>
  <si>
    <t>U00629</t>
  </si>
  <si>
    <t>U00630</t>
  </si>
  <si>
    <t>U00631</t>
  </si>
  <si>
    <t>U00632</t>
  </si>
  <si>
    <t>U00633</t>
  </si>
  <si>
    <t>2024-10-18</t>
  </si>
  <si>
    <t>U00634</t>
  </si>
  <si>
    <t>U00635</t>
  </si>
  <si>
    <t>U00636</t>
  </si>
  <si>
    <t>U00637</t>
  </si>
  <si>
    <t>U00638</t>
  </si>
  <si>
    <t>2024-10-19</t>
  </si>
  <si>
    <t>U00639</t>
  </si>
  <si>
    <t>U00640</t>
  </si>
  <si>
    <t>U00641</t>
  </si>
  <si>
    <t>U00642</t>
  </si>
  <si>
    <t>U00643</t>
  </si>
  <si>
    <t>2024-10-20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</si>
  <si>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</si>
  <si>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</si>
  <si>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</si>
  <si>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</si>
  <si>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</si>
  <si>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</si>
  <si>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</si>
  <si>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</si>
  <si>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</si>
  <si>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</si>
  <si>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</si>
  <si>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</si>
  <si>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</si>
  <si>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</si>
  <si>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</si>
  <si>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</si>
  <si>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</si>
  <si>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</si>
  <si>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</si>
  <si>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</si>
  <si>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</si>
  <si>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</si>
  <si>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</si>
  <si>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</si>
  <si>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</si>
  <si>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</si>
  <si>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</si>
  <si>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</si>
  <si>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</si>
  <si>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</si>
  <si>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</si>
  <si>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</si>
  <si>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</si>
  <si>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</si>
  <si>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</si>
  <si>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</si>
  <si>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</si>
  <si>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</si>
  <si>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</si>
  <si>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</si>
  <si>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</si>
  <si>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</si>
  <si>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</si>
  <si>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</si>
  <si>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</si>
  <si>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</si>
  <si>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</si>
  <si>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</si>
  <si>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</si>
  <si>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</si>
  <si>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</si>
  <si>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</si>
  <si>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</si>
  <si>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</si>
  <si>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</si>
  <si>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</si>
  <si>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2024-10-30</t>
  </si>
  <si>
    <t>U00700</t>
  </si>
  <si>
    <t>U00701</t>
  </si>
  <si>
    <t>U00702</t>
  </si>
  <si>
    <t>U00703</t>
  </si>
  <si>
    <t>U00704</t>
  </si>
  <si>
    <t>2024-10-31</t>
  </si>
  <si>
    <t>U00705</t>
  </si>
  <si>
    <t>U00706</t>
  </si>
  <si>
    <t>U00707</t>
  </si>
  <si>
    <t>U00708</t>
  </si>
  <si>
    <t>2024-11-01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</si>
  <si>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</si>
  <si>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</si>
  <si>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</si>
  <si>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</si>
  <si>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</si>
  <si>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</si>
  <si>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</si>
  <si>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</si>
  <si>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2024-11-03</t>
  </si>
  <si>
    <t>U00717</t>
  </si>
  <si>
    <t>U00718</t>
  </si>
  <si>
    <t>U00719</t>
  </si>
  <si>
    <t>U00720</t>
  </si>
  <si>
    <t>U00721</t>
  </si>
  <si>
    <t>2024-11-04</t>
  </si>
  <si>
    <t>U00722</t>
  </si>
  <si>
    <t>U00723</t>
  </si>
  <si>
    <t>U00724</t>
  </si>
  <si>
    <t>U00725</t>
  </si>
  <si>
    <t>U00726</t>
  </si>
  <si>
    <t>2024-11-05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</si>
  <si>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</si>
  <si>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</si>
  <si>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</si>
  <si>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</si>
  <si>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</si>
  <si>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</si>
  <si>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</si>
  <si>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</si>
  <si>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</si>
  <si>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</si>
  <si>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</si>
  <si>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</si>
  <si>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</si>
  <si>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</si>
  <si>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</si>
  <si>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</si>
  <si>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</si>
  <si>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</si>
  <si>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</si>
  <si>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</si>
  <si>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</si>
  <si>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</si>
  <si>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</si>
  <si>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</si>
  <si>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</si>
  <si>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</si>
  <si>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</si>
  <si>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</si>
  <si>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</si>
  <si>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</si>
  <si>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</si>
  <si>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</si>
  <si>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</si>
  <si>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</si>
  <si>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</si>
  <si>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</si>
  <si>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</si>
  <si>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</si>
  <si>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</si>
  <si>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</si>
  <si>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</si>
  <si>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</si>
  <si>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</si>
  <si>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</si>
  <si>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</si>
  <si>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</si>
  <si>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</si>
  <si>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</si>
  <si>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</si>
  <si>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</si>
  <si>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</si>
  <si>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</si>
  <si>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</si>
  <si>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2024-11-17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</si>
  <si>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</si>
  <si>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</si>
  <si>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</si>
  <si>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</si>
  <si>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</si>
  <si>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</si>
  <si>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</si>
  <si>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</si>
  <si>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</si>
  <si>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2024-11-19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</si>
  <si>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</si>
  <si>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</si>
  <si>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</si>
  <si>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</si>
  <si>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</si>
  <si>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</si>
  <si>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</si>
  <si>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</si>
  <si>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</si>
  <si>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</si>
  <si>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</si>
  <si>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</si>
  <si>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</si>
  <si>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</si>
  <si>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</si>
  <si>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</si>
  <si>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</si>
  <si>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</si>
  <si>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</si>
  <si>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</si>
  <si>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</si>
  <si>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</si>
  <si>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2024-11-24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</si>
  <si>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</si>
  <si>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</si>
  <si>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</si>
  <si>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</si>
  <si>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</si>
  <si>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</si>
  <si>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</si>
  <si>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</si>
  <si>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</si>
  <si>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</si>
  <si>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</si>
  <si>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</si>
  <si>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</si>
  <si>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</si>
  <si>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</si>
  <si>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</si>
  <si>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</si>
  <si>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</si>
  <si>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</si>
  <si>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</si>
  <si>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</si>
  <si>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</si>
  <si>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</si>
  <si>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</si>
  <si>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</si>
  <si>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</si>
  <si>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</si>
  <si>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2024-11-30</t>
  </si>
  <si>
    <t>U00838</t>
  </si>
  <si>
    <t>U00839</t>
  </si>
  <si>
    <t>U00840</t>
  </si>
  <si>
    <t>U00841</t>
  </si>
  <si>
    <t>U00842</t>
  </si>
  <si>
    <t>2024-12-01</t>
  </si>
  <si>
    <t>U00843</t>
  </si>
  <si>
    <t>U00844</t>
  </si>
  <si>
    <t>U00845</t>
  </si>
  <si>
    <t>U00846</t>
  </si>
  <si>
    <t>2024-12-02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</si>
  <si>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</si>
  <si>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</si>
  <si>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</si>
  <si>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</si>
  <si>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</si>
  <si>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</si>
  <si>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</si>
  <si>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</si>
  <si>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</si>
  <si>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</si>
  <si>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</si>
  <si>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</si>
  <si>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</si>
  <si>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</si>
  <si>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</si>
  <si>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</si>
  <si>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</si>
  <si>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</si>
  <si>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</si>
  <si>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</si>
  <si>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</si>
  <si>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</si>
  <si>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</si>
  <si>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</si>
  <si>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</si>
  <si>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</si>
  <si>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</si>
  <si>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</si>
  <si>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</si>
  <si>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</si>
  <si>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</si>
  <si>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</si>
  <si>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</si>
  <si>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</si>
  <si>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</si>
  <si>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</si>
  <si>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</si>
  <si>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</si>
  <si>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2024-12-10</t>
  </si>
  <si>
    <t>U00885</t>
  </si>
  <si>
    <t>U00886</t>
  </si>
  <si>
    <t>U00887</t>
  </si>
  <si>
    <t>U00888</t>
  </si>
  <si>
    <t>2024-12-11</t>
  </si>
  <si>
    <t>U00889</t>
  </si>
  <si>
    <t>U00890</t>
  </si>
  <si>
    <t>U00891</t>
  </si>
  <si>
    <t>U00892</t>
  </si>
  <si>
    <t>U00893</t>
  </si>
  <si>
    <t>2024-12-12</t>
  </si>
  <si>
    <t>U00894</t>
  </si>
  <si>
    <t>U00895</t>
  </si>
  <si>
    <t>U00896</t>
  </si>
  <si>
    <t>U00897</t>
  </si>
  <si>
    <t>U00898</t>
  </si>
  <si>
    <t>U00899</t>
  </si>
  <si>
    <t>2024-12-13</t>
  </si>
  <si>
    <t>U00900</t>
  </si>
  <si>
    <t>U00901</t>
  </si>
  <si>
    <t>U00902</t>
  </si>
  <si>
    <t>U00903</t>
  </si>
  <si>
    <t>2024-12-14</t>
  </si>
  <si>
    <t>U00904</t>
  </si>
  <si>
    <t>U00905</t>
  </si>
  <si>
    <t>U00906</t>
  </si>
  <si>
    <t>U00907</t>
  </si>
  <si>
    <t>U00908</t>
  </si>
  <si>
    <t>2024-12-15</t>
  </si>
  <si>
    <t>U00909</t>
  </si>
  <si>
    <t>U00910</t>
  </si>
  <si>
    <t>U00911</t>
  </si>
  <si>
    <t>U00912</t>
  </si>
  <si>
    <t>2024-12-16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</si>
  <si>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</si>
  <si>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</si>
  <si>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</si>
  <si>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</si>
  <si>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</si>
  <si>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</si>
  <si>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</si>
  <si>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</si>
  <si>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</si>
  <si>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</si>
  <si>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</si>
  <si>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</si>
  <si>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</si>
  <si>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</si>
  <si>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</si>
  <si>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</si>
  <si>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</si>
  <si>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</si>
  <si>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</si>
  <si>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</si>
  <si>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</si>
  <si>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</si>
  <si>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</si>
  <si>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</si>
  <si>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</si>
  <si>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</si>
  <si>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</si>
  <si>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</si>
  <si>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</si>
  <si>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</si>
  <si>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</si>
  <si>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2024-12-23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</si>
  <si>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</si>
  <si>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</si>
  <si>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</si>
  <si>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</si>
  <si>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</si>
  <si>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</si>
  <si>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</si>
  <si>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</si>
  <si>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</si>
  <si>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</si>
  <si>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</si>
  <si>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2024-12-25</t>
  </si>
  <si>
    <t>U00955</t>
  </si>
  <si>
    <t>U00956</t>
  </si>
  <si>
    <t>U00957</t>
  </si>
  <si>
    <t>U00958</t>
  </si>
  <si>
    <t>U00959</t>
  </si>
  <si>
    <t>2024-12-26</t>
  </si>
  <si>
    <t>U00960</t>
  </si>
  <si>
    <t>U00961</t>
  </si>
  <si>
    <t>U00962</t>
  </si>
  <si>
    <t>U00963</t>
  </si>
  <si>
    <t>U00964</t>
  </si>
  <si>
    <t>2024-12-27</t>
  </si>
  <si>
    <t>U00965</t>
  </si>
  <si>
    <t>U00966</t>
  </si>
  <si>
    <t>U00967</t>
  </si>
  <si>
    <t>U00968</t>
  </si>
  <si>
    <t>2024-12-28</t>
  </si>
  <si>
    <t>U00969</t>
  </si>
  <si>
    <t>U00970</t>
  </si>
  <si>
    <t>U00971</t>
  </si>
  <si>
    <t>U00972</t>
  </si>
  <si>
    <t>2024-12-29</t>
  </si>
  <si>
    <t>U00973</t>
  </si>
  <si>
    <t>U00974</t>
  </si>
  <si>
    <t>U00975</t>
  </si>
  <si>
    <t>U00976</t>
  </si>
  <si>
    <t>2024-12-30</t>
  </si>
  <si>
    <t>U00977</t>
  </si>
  <si>
    <t>U00978</t>
  </si>
  <si>
    <t>U00979</t>
  </si>
  <si>
    <t>U00980</t>
  </si>
  <si>
    <t>U00981</t>
  </si>
  <si>
    <t>2024-12-31</t>
  </si>
  <si>
    <t>U00982</t>
  </si>
  <si>
    <t>U00983</t>
  </si>
  <si>
    <t>U00984</t>
  </si>
  <si>
    <t>U00985</t>
  </si>
  <si>
    <t>2025-01-01</t>
  </si>
  <si>
    <t>U00986</t>
  </si>
  <si>
    <t>U00987</t>
  </si>
  <si>
    <t>U00988</t>
  </si>
  <si>
    <t>U00989</t>
  </si>
  <si>
    <t>2025-01-02</t>
  </si>
  <si>
    <t>U00990</t>
  </si>
  <si>
    <t>U00991</t>
  </si>
  <si>
    <t>U00992</t>
  </si>
  <si>
    <t>U00993</t>
  </si>
  <si>
    <t>U00994</t>
  </si>
  <si>
    <t>2025-01-03</t>
  </si>
  <si>
    <t>U00995</t>
  </si>
  <si>
    <t>U00996</t>
  </si>
  <si>
    <t>U00997</t>
  </si>
  <si>
    <t>U00998</t>
  </si>
  <si>
    <t>U00999</t>
  </si>
  <si>
    <t>2025-01-04</t>
  </si>
  <si>
    <t>U01000</t>
  </si>
  <si>
    <t>U01001</t>
  </si>
  <si>
    <t>U01002</t>
  </si>
  <si>
    <t>U01003</t>
  </si>
  <si>
    <t>2025-01-05</t>
  </si>
  <si>
    <t>U01004</t>
  </si>
  <si>
    <t>U01005</t>
  </si>
  <si>
    <t>U01006</t>
  </si>
  <si>
    <t>U01007</t>
  </si>
  <si>
    <t>2025-01-06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</si>
  <si>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</si>
  <si>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</si>
  <si>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</si>
  <si>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</si>
  <si>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</si>
  <si>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</si>
  <si>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</si>
  <si>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</si>
  <si>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</si>
  <si>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</si>
  <si>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</si>
  <si>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</si>
  <si>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</si>
  <si>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</si>
  <si>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</si>
  <si>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</si>
  <si>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</si>
  <si>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</si>
  <si>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</si>
  <si>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</si>
  <si>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</si>
  <si>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</si>
  <si>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</si>
  <si>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</si>
  <si>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</si>
  <si>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</si>
  <si>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</si>
  <si>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</si>
  <si>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</si>
  <si>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</si>
  <si>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</si>
  <si>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</si>
  <si>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</si>
  <si>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</si>
  <si>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</si>
  <si>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</si>
  <si>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</si>
  <si>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</si>
  <si>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</si>
  <si>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</si>
  <si>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</si>
  <si>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</si>
  <si>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</si>
  <si>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</si>
  <si>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</si>
  <si>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</si>
  <si>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</si>
  <si>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</si>
  <si>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</si>
  <si>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</si>
  <si>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</si>
  <si>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</si>
  <si>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</si>
  <si>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</si>
  <si>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</si>
  <si>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</si>
  <si>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2025-01-18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</si>
  <si>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</si>
  <si>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</si>
  <si>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</si>
  <si>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</si>
  <si>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</si>
  <si>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</si>
  <si>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</si>
  <si>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</si>
  <si>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2025-01-20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</si>
  <si>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</si>
  <si>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</si>
  <si>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</si>
  <si>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</si>
  <si>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</si>
  <si>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</si>
  <si>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</si>
  <si>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</si>
  <si>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</si>
  <si>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</si>
  <si>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</si>
  <si>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</si>
  <si>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</si>
  <si>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</si>
  <si>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</si>
  <si>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</si>
  <si>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</si>
  <si>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</si>
  <si>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</si>
  <si>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</si>
  <si>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</si>
  <si>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</si>
  <si>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</si>
  <si>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</si>
  <si>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2025-01-25</t>
  </si>
  <si>
    <t>U01096</t>
  </si>
  <si>
    <t>U01097</t>
  </si>
  <si>
    <t>U01098</t>
  </si>
  <si>
    <t>U01099</t>
  </si>
  <si>
    <t>2025-01-26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</si>
  <si>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</si>
  <si>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</si>
  <si>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</si>
  <si>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</si>
  <si>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</si>
  <si>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</si>
  <si>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</si>
  <si>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</si>
  <si>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</si>
  <si>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</si>
  <si>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</si>
  <si>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</si>
  <si>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</si>
  <si>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</si>
  <si>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</si>
  <si>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</si>
  <si>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</si>
  <si>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</si>
  <si>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</si>
  <si>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</si>
  <si>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</si>
  <si>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</si>
  <si>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</si>
  <si>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</si>
  <si>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</si>
  <si>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</si>
  <si>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</si>
  <si>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</si>
  <si>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</si>
  <si>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</si>
  <si>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</si>
  <si>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</si>
  <si>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</si>
  <si>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</si>
  <si>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2025-02-03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</si>
  <si>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</si>
  <si>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</si>
  <si>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</si>
  <si>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</si>
  <si>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</si>
  <si>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</si>
  <si>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</si>
  <si>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</si>
  <si>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</si>
  <si>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</si>
  <si>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</si>
  <si>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</si>
  <si>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</si>
  <si>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</si>
  <si>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</si>
  <si>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</si>
  <si>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</si>
  <si>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</si>
  <si>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</si>
  <si>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</si>
  <si>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</si>
  <si>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</si>
  <si>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</si>
  <si>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</si>
  <si>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</si>
  <si>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</si>
  <si>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</si>
  <si>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</si>
  <si>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</si>
  <si>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</si>
  <si>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</si>
  <si>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</si>
  <si>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2025-02-10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</si>
  <si>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</si>
  <si>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</si>
  <si>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</si>
  <si>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</si>
  <si>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</si>
  <si>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</si>
  <si>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</si>
  <si>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</si>
  <si>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</si>
  <si>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</si>
  <si>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2025-02-12</t>
  </si>
  <si>
    <t>U01176</t>
  </si>
  <si>
    <t>U01177</t>
  </si>
  <si>
    <t>U01178</t>
  </si>
  <si>
    <t>U01179</t>
  </si>
  <si>
    <t>2025-02-13</t>
  </si>
  <si>
    <t>U01180</t>
  </si>
  <si>
    <t>U01181</t>
  </si>
  <si>
    <t>U01182</t>
  </si>
  <si>
    <t>U01183</t>
  </si>
  <si>
    <t>U01184</t>
  </si>
  <si>
    <t>2025-02-14</t>
  </si>
  <si>
    <t>U01185</t>
  </si>
  <si>
    <t>U01186</t>
  </si>
  <si>
    <t>U01187</t>
  </si>
  <si>
    <t>U01188</t>
  </si>
  <si>
    <t>2025-02-15</t>
  </si>
  <si>
    <t>U01189</t>
  </si>
  <si>
    <t>U01190</t>
  </si>
  <si>
    <t>U01191</t>
  </si>
  <si>
    <t>U01192</t>
  </si>
  <si>
    <t>2025-02-16</t>
  </si>
  <si>
    <t>U01193</t>
  </si>
  <si>
    <t>U01194</t>
  </si>
  <si>
    <t>U01195</t>
  </si>
  <si>
    <t>U01196</t>
  </si>
  <si>
    <t>2025-02-17</t>
  </si>
  <si>
    <t>U01197</t>
  </si>
  <si>
    <t>U01198</t>
  </si>
  <si>
    <t>U01199</t>
  </si>
  <si>
    <t>U01200</t>
  </si>
  <si>
    <t>2025-02-18</t>
  </si>
  <si>
    <t>U01201</t>
  </si>
  <si>
    <t>U01202</t>
  </si>
  <si>
    <t>U01203</t>
  </si>
  <si>
    <t>U01204</t>
  </si>
  <si>
    <t>U01205</t>
  </si>
  <si>
    <t>2025-02-19</t>
  </si>
  <si>
    <t>U01206</t>
  </si>
  <si>
    <t>U01207</t>
  </si>
  <si>
    <t>U01208</t>
  </si>
  <si>
    <t>U01209</t>
  </si>
  <si>
    <t>2025-02-20</t>
  </si>
  <si>
    <t>U01210</t>
  </si>
  <si>
    <t>U01211</t>
  </si>
  <si>
    <t>U01212</t>
  </si>
  <si>
    <t>U01213</t>
  </si>
  <si>
    <t>2025-02-21</t>
  </si>
  <si>
    <t>U01214</t>
  </si>
  <si>
    <t>U01215</t>
  </si>
  <si>
    <t>U01216</t>
  </si>
  <si>
    <t>U01217</t>
  </si>
  <si>
    <t>U01218</t>
  </si>
  <si>
    <t>U01219</t>
  </si>
  <si>
    <t>2025-02-22</t>
  </si>
  <si>
    <t>U01220</t>
  </si>
  <si>
    <t>U01221</t>
  </si>
  <si>
    <t>U01222</t>
  </si>
  <si>
    <t>U01223</t>
  </si>
  <si>
    <t>U01224</t>
  </si>
  <si>
    <t>2025-02-23</t>
  </si>
  <si>
    <t>U01225</t>
  </si>
  <si>
    <t>U01226</t>
  </si>
  <si>
    <t>U01227</t>
  </si>
  <si>
    <t>U01228</t>
  </si>
  <si>
    <t>U01229</t>
  </si>
  <si>
    <t>2025-02-24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</si>
  <si>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</si>
  <si>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</si>
  <si>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</si>
  <si>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</si>
  <si>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</si>
  <si>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</si>
  <si>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</si>
  <si>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</si>
  <si>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</si>
  <si>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</si>
  <si>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</si>
  <si>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</si>
  <si>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</si>
  <si>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</si>
  <si>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</si>
  <si>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</si>
  <si>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</si>
  <si>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</si>
  <si>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</si>
  <si>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</si>
  <si>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</si>
  <si>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</si>
  <si>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</si>
  <si>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</si>
  <si>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</si>
  <si>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</si>
  <si>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</si>
  <si>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2025-03-02</t>
  </si>
  <si>
    <t>U01257</t>
  </si>
  <si>
    <t>U01258</t>
  </si>
  <si>
    <t>U01259</t>
  </si>
  <si>
    <t>U01260</t>
  </si>
  <si>
    <t>2025-03-03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</si>
  <si>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</si>
  <si>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</si>
  <si>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</si>
  <si>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</si>
  <si>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</si>
  <si>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</si>
  <si>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</si>
  <si>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</si>
  <si>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</si>
  <si>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</si>
  <si>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</si>
  <si>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</si>
  <si>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</si>
  <si>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</si>
  <si>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</si>
  <si>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2025-03-06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</si>
  <si>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</si>
  <si>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</si>
  <si>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</si>
  <si>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</si>
  <si>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</si>
  <si>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</si>
  <si>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</si>
  <si>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</si>
  <si>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</si>
  <si>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</si>
  <si>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2025-03-08</t>
  </si>
  <si>
    <t>U01286</t>
  </si>
  <si>
    <t>U01287</t>
  </si>
  <si>
    <t>U01288</t>
  </si>
  <si>
    <t>U01289</t>
  </si>
  <si>
    <t>2025-03-09</t>
  </si>
  <si>
    <t>U01290</t>
  </si>
  <si>
    <t>U01291</t>
  </si>
  <si>
    <t>U01292</t>
  </si>
  <si>
    <t>U01293</t>
  </si>
  <si>
    <t>2025-03-10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</si>
  <si>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</si>
  <si>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</si>
  <si>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</si>
  <si>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</si>
  <si>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</si>
  <si>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</si>
  <si>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</si>
  <si>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</si>
  <si>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</si>
  <si>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</si>
  <si>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2025-03-12</t>
  </si>
  <si>
    <t>U01304</t>
  </si>
  <si>
    <t>U01305</t>
  </si>
  <si>
    <t>U01306</t>
  </si>
  <si>
    <t>U01307</t>
  </si>
  <si>
    <t>2025-03-13</t>
  </si>
  <si>
    <t>U01308</t>
  </si>
  <si>
    <t>U01309</t>
  </si>
  <si>
    <t>U01310</t>
  </si>
  <si>
    <t>U01311</t>
  </si>
  <si>
    <t>U01312</t>
  </si>
  <si>
    <t>2025-03-14</t>
  </si>
  <si>
    <t>U01313</t>
  </si>
  <si>
    <t>U01314</t>
  </si>
  <si>
    <t>U01315</t>
  </si>
  <si>
    <t>U01316</t>
  </si>
  <si>
    <t>U01317</t>
  </si>
  <si>
    <t>2025-03-15</t>
  </si>
  <si>
    <t>U01318</t>
  </si>
  <si>
    <t>U01319</t>
  </si>
  <si>
    <t>U01320</t>
  </si>
  <si>
    <t>U01321</t>
  </si>
  <si>
    <t>U01322</t>
  </si>
  <si>
    <t>2025-03-16</t>
  </si>
  <si>
    <t>U01323</t>
  </si>
  <si>
    <t>U01324</t>
  </si>
  <si>
    <t>U01325</t>
  </si>
  <si>
    <t>U01326</t>
  </si>
  <si>
    <t>2025-03-17</t>
  </si>
  <si>
    <t>U01327</t>
  </si>
  <si>
    <t>U01328</t>
  </si>
  <si>
    <t>U01329</t>
  </si>
  <si>
    <t>U01330</t>
  </si>
  <si>
    <t>2025-03-18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</si>
  <si>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</si>
  <si>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</si>
  <si>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</si>
  <si>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</si>
  <si>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</si>
  <si>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</si>
  <si>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</si>
  <si>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</si>
  <si>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</si>
  <si>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</si>
  <si>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</si>
  <si>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</si>
  <si>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</si>
  <si>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</si>
  <si>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</si>
  <si>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2025-03-21</t>
  </si>
  <si>
    <t>U01346</t>
  </si>
  <si>
    <t>U01347</t>
  </si>
  <si>
    <t>U01348</t>
  </si>
  <si>
    <t>U01349</t>
  </si>
  <si>
    <t>2025-03-22</t>
  </si>
  <si>
    <t>U01350</t>
  </si>
  <si>
    <t>U01351</t>
  </si>
  <si>
    <t>U01352</t>
  </si>
  <si>
    <t>U01353</t>
  </si>
  <si>
    <t>2025-03-23</t>
  </si>
  <si>
    <t>U01354</t>
  </si>
  <si>
    <t>U01355</t>
  </si>
  <si>
    <t>U01356</t>
  </si>
  <si>
    <t>U01357</t>
  </si>
  <si>
    <t>2025-03-24</t>
  </si>
  <si>
    <t>U01358</t>
  </si>
  <si>
    <t>U01359</t>
  </si>
  <si>
    <t>U01360</t>
  </si>
  <si>
    <t>U01361</t>
  </si>
  <si>
    <t>U01362</t>
  </si>
  <si>
    <t>2025-03-25</t>
  </si>
  <si>
    <t>U01363</t>
  </si>
  <si>
    <t>U01364</t>
  </si>
  <si>
    <t>U01365</t>
  </si>
  <si>
    <t>U01366</t>
  </si>
  <si>
    <t>U01367</t>
  </si>
  <si>
    <t>U01368</t>
  </si>
  <si>
    <t>2025-03-26</t>
  </si>
  <si>
    <t>U01369</t>
  </si>
  <si>
    <t>U01370</t>
  </si>
  <si>
    <t>U01371</t>
  </si>
  <si>
    <t>U01372</t>
  </si>
  <si>
    <t>2025-03-27</t>
  </si>
  <si>
    <t>U01373</t>
  </si>
  <si>
    <t>U01374</t>
  </si>
  <si>
    <t>U01375</t>
  </si>
  <si>
    <t>U01376</t>
  </si>
  <si>
    <t>U01377</t>
  </si>
  <si>
    <t>2025-03-28</t>
  </si>
  <si>
    <t>U01378</t>
  </si>
  <si>
    <t>U01379</t>
  </si>
  <si>
    <t>U01380</t>
  </si>
  <si>
    <t>U01381</t>
  </si>
  <si>
    <t>U01382</t>
  </si>
  <si>
    <t>2025-03-29</t>
  </si>
  <si>
    <t>U01383</t>
  </si>
  <si>
    <t>U01384</t>
  </si>
  <si>
    <t>U01385</t>
  </si>
  <si>
    <t>U01386</t>
  </si>
  <si>
    <t>2025-03-30</t>
  </si>
  <si>
    <t>U01387</t>
  </si>
  <si>
    <t>U01388</t>
  </si>
  <si>
    <t>U01389</t>
  </si>
  <si>
    <t>U01390</t>
  </si>
  <si>
    <t>U01391</t>
  </si>
  <si>
    <t>2025-03-31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</si>
  <si>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</si>
  <si>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</si>
  <si>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</si>
  <si>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</si>
  <si>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</si>
  <si>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</si>
  <si>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</si>
  <si>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</si>
  <si>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</si>
  <si>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</si>
  <si>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</si>
  <si>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</si>
  <si>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</si>
  <si>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</si>
  <si>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</si>
  <si>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</si>
  <si>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</si>
  <si>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</si>
  <si>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</si>
  <si>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</si>
  <si>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</si>
  <si>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</si>
  <si>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</si>
  <si>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</si>
  <si>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</si>
  <si>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</si>
  <si>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</si>
  <si>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</si>
  <si>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</si>
  <si>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2025-04-06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</si>
  <si>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</si>
  <si>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</si>
  <si>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</si>
  <si>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</si>
  <si>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</si>
  <si>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</si>
  <si>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</si>
  <si>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</si>
  <si>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</si>
  <si>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</si>
  <si>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</si>
  <si>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</si>
  <si>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</si>
  <si>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</si>
  <si>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</si>
  <si>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</si>
  <si>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</si>
  <si>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</si>
  <si>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</si>
  <si>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</si>
  <si>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</si>
  <si>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</si>
  <si>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</si>
  <si>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</si>
  <si>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</si>
  <si>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</si>
  <si>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</si>
  <si>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</si>
  <si>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</si>
  <si>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</si>
  <si>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</si>
  <si>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</si>
  <si>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</si>
  <si>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</si>
  <si>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</si>
  <si>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</si>
  <si>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</si>
  <si>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2025-04-14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</si>
  <si>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</si>
  <si>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</si>
  <si>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</si>
  <si>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</si>
  <si>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</si>
  <si>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</si>
  <si>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</si>
  <si>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</si>
  <si>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</si>
  <si>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</si>
  <si>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</si>
  <si>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</si>
  <si>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</si>
  <si>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</si>
  <si>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</si>
  <si>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</si>
  <si>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</si>
  <si>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</si>
  <si>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</si>
  <si>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</si>
  <si>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2025-04-19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</si>
  <si>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</si>
  <si>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</si>
  <si>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</si>
  <si>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</si>
  <si>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</si>
  <si>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</si>
  <si>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</si>
  <si>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</si>
  <si>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2025-04-21</t>
  </si>
  <si>
    <t>U01486</t>
  </si>
  <si>
    <t>U01487</t>
  </si>
  <si>
    <t>U01488</t>
  </si>
  <si>
    <t>U01489</t>
  </si>
  <si>
    <t>U01490</t>
  </si>
  <si>
    <t>2025-04-22</t>
  </si>
  <si>
    <t>U01491</t>
  </si>
  <si>
    <t>U01492</t>
  </si>
  <si>
    <t>U01493</t>
  </si>
  <si>
    <t>U01494</t>
  </si>
  <si>
    <t>2025-04-23</t>
  </si>
  <si>
    <t>U01495</t>
  </si>
  <si>
    <t>U01496</t>
  </si>
  <si>
    <t>U01497</t>
  </si>
  <si>
    <t>U01498</t>
  </si>
  <si>
    <t>2025-04-24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</si>
  <si>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</si>
  <si>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</si>
  <si>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</si>
  <si>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</si>
  <si>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</si>
  <si>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</si>
  <si>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</si>
  <si>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</si>
  <si>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</si>
  <si>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</si>
  <si>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</si>
  <si>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</si>
  <si>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</si>
  <si>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</si>
  <si>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</si>
  <si>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</si>
  <si>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</si>
  <si>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</si>
  <si>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</si>
  <si>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2025-04-28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</si>
  <si>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</si>
  <si>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</si>
  <si>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</si>
  <si>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</si>
  <si>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</si>
  <si>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</si>
  <si>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</si>
  <si>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</si>
  <si>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</si>
  <si>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2025-04-30</t>
  </si>
  <si>
    <t>U01527</t>
  </si>
  <si>
    <t>U01528</t>
  </si>
  <si>
    <t>U01529</t>
  </si>
  <si>
    <t>U01530</t>
  </si>
  <si>
    <t>U01531</t>
  </si>
  <si>
    <t>2025-05-01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</si>
  <si>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</si>
  <si>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</si>
  <si>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</si>
  <si>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</si>
  <si>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</si>
  <si>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</si>
  <si>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</si>
  <si>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</si>
  <si>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</si>
  <si>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</si>
  <si>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2025-05-03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</si>
  <si>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</si>
  <si>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</si>
  <si>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</si>
  <si>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</si>
  <si>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</si>
  <si>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</si>
  <si>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</si>
  <si>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</si>
  <si>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</si>
  <si>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</si>
  <si>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</si>
  <si>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</si>
  <si>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</si>
  <si>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</si>
  <si>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</si>
  <si>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</si>
  <si>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</si>
  <si>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</si>
  <si>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</si>
  <si>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</si>
  <si>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</si>
  <si>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</si>
  <si>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</si>
  <si>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</si>
  <si>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</si>
  <si>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</si>
  <si>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</si>
  <si>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</si>
  <si>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</si>
  <si>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</si>
  <si>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</si>
  <si>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</si>
  <si>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</si>
  <si>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</si>
  <si>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</si>
  <si>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</si>
  <si>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</si>
  <si>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</si>
  <si>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</si>
  <si>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</si>
  <si>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</si>
  <si>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</si>
  <si>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2025-05-12</t>
  </si>
  <si>
    <t>U01584</t>
  </si>
  <si>
    <t>U01585</t>
  </si>
  <si>
    <t>U01586</t>
  </si>
  <si>
    <t>U01587</t>
  </si>
  <si>
    <t>U01588</t>
  </si>
  <si>
    <t>U01589</t>
  </si>
  <si>
    <t>2025-05-13</t>
  </si>
  <si>
    <t>U01590</t>
  </si>
  <si>
    <t>U01591</t>
  </si>
  <si>
    <t>U01592</t>
  </si>
  <si>
    <t>U01593</t>
  </si>
  <si>
    <t>U01594</t>
  </si>
  <si>
    <t>U01595</t>
  </si>
  <si>
    <t>2025-05-14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</si>
  <si>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</si>
  <si>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</si>
  <si>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</si>
  <si>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</si>
  <si>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</si>
  <si>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</si>
  <si>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</si>
  <si>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</si>
  <si>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</si>
  <si>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</si>
  <si>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</si>
  <si>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</si>
  <si>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</si>
  <si>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</si>
  <si>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</si>
  <si>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</si>
  <si>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</si>
  <si>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</si>
  <si>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</si>
  <si>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</si>
  <si>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</si>
  <si>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</si>
  <si>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</si>
  <si>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</si>
  <si>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</si>
  <si>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</si>
  <si>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</si>
  <si>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</si>
  <si>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</si>
  <si>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</si>
  <si>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</si>
  <si>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</si>
  <si>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</si>
  <si>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</si>
  <si>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</si>
  <si>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2025-05-21</t>
  </si>
  <si>
    <t>U01631</t>
  </si>
  <si>
    <t>U01632</t>
  </si>
  <si>
    <t>U01633</t>
  </si>
  <si>
    <t>U01634</t>
  </si>
  <si>
    <t>2025-05-22</t>
  </si>
  <si>
    <t>U01635</t>
  </si>
  <si>
    <t>U01636</t>
  </si>
  <si>
    <t>U01637</t>
  </si>
  <si>
    <t>U01638</t>
  </si>
  <si>
    <t>U01639</t>
  </si>
  <si>
    <t>U01640</t>
  </si>
  <si>
    <t>2025-05-23</t>
  </si>
  <si>
    <t>U01641</t>
  </si>
  <si>
    <t>U01642</t>
  </si>
  <si>
    <t>U01643</t>
  </si>
  <si>
    <t>U01644</t>
  </si>
  <si>
    <t>U01645</t>
  </si>
  <si>
    <t>2025-05-24</t>
  </si>
  <si>
    <t>U01646</t>
  </si>
  <si>
    <t>U01647</t>
  </si>
  <si>
    <t>U01648</t>
  </si>
  <si>
    <t>U01649</t>
  </si>
  <si>
    <t>2025-05-25</t>
  </si>
  <si>
    <t>U01650</t>
  </si>
  <si>
    <t>U01651</t>
  </si>
  <si>
    <t>U01652</t>
  </si>
  <si>
    <t>U01653</t>
  </si>
  <si>
    <t>2025-05-26</t>
  </si>
  <si>
    <t>U01654</t>
  </si>
  <si>
    <t>U01655</t>
  </si>
  <si>
    <t>U01656</t>
  </si>
  <si>
    <t>U01657</t>
  </si>
  <si>
    <t>2025-05-27</t>
  </si>
  <si>
    <t>U01658</t>
  </si>
  <si>
    <t>U01659</t>
  </si>
  <si>
    <t>U01660</t>
  </si>
  <si>
    <t>U01661</t>
  </si>
  <si>
    <t>2025-05-28</t>
  </si>
  <si>
    <t>U01662</t>
  </si>
  <si>
    <t>U01663</t>
  </si>
  <si>
    <t>U01664</t>
  </si>
  <si>
    <t>U01665</t>
  </si>
  <si>
    <t>U01666</t>
  </si>
  <si>
    <t>2025-05-29</t>
  </si>
  <si>
    <t>U01667</t>
  </si>
  <si>
    <t>U01668</t>
  </si>
  <si>
    <t>U01669</t>
  </si>
  <si>
    <t>U01670</t>
  </si>
  <si>
    <t>2025-05-30</t>
  </si>
  <si>
    <t>U01671</t>
  </si>
  <si>
    <t>U01672</t>
  </si>
  <si>
    <t>U01673</t>
  </si>
  <si>
    <t>U01674</t>
  </si>
  <si>
    <t>2025-05-31</t>
  </si>
  <si>
    <t>U01675</t>
  </si>
  <si>
    <t>U01676</t>
  </si>
  <si>
    <t>U01677</t>
  </si>
  <si>
    <t>U01678</t>
  </si>
  <si>
    <t>2025-06-01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</si>
  <si>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</si>
  <si>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</si>
  <si>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</si>
  <si>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</si>
  <si>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</si>
  <si>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</si>
  <si>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</si>
  <si>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</si>
  <si>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</si>
  <si>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</si>
  <si>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</si>
  <si>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</si>
  <si>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</si>
  <si>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</si>
  <si>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</si>
  <si>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</si>
  <si>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</si>
  <si>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</si>
  <si>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</si>
  <si>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</si>
  <si>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</si>
  <si>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</si>
  <si>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</si>
  <si>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</si>
  <si>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</si>
  <si>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</si>
  <si>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</si>
  <si>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</si>
  <si>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</si>
  <si>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</si>
  <si>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</si>
  <si>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</si>
  <si>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</si>
  <si>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</si>
  <si>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</si>
  <si>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</si>
  <si>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</si>
  <si>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</si>
  <si>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</si>
  <si>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2025-06-09</t>
  </si>
  <si>
    <t>U01718</t>
  </si>
  <si>
    <t>U01719</t>
  </si>
  <si>
    <t>U01720</t>
  </si>
  <si>
    <t>U01721</t>
  </si>
  <si>
    <t>U01722</t>
  </si>
  <si>
    <t>2025-06-10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</si>
  <si>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</si>
  <si>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</si>
  <si>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</si>
  <si>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</si>
  <si>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</si>
  <si>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</si>
  <si>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</si>
  <si>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</si>
  <si>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</si>
  <si>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</si>
  <si>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</si>
  <si>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</si>
  <si>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</si>
  <si>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</si>
  <si>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</si>
  <si>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</si>
  <si>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</si>
  <si>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</si>
  <si>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</si>
  <si>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</si>
  <si>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</si>
  <si>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</si>
  <si>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</si>
  <si>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</si>
  <si>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</si>
  <si>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</si>
  <si>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</si>
  <si>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</si>
  <si>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</si>
  <si>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</si>
  <si>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</si>
  <si>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</si>
  <si>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</si>
  <si>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</si>
  <si>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</si>
  <si>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</si>
  <si>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</si>
  <si>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</si>
  <si>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</si>
  <si>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</si>
  <si>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2025-06-19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</si>
  <si>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</si>
  <si>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</si>
  <si>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</si>
  <si>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</si>
  <si>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</si>
  <si>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</si>
  <si>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</si>
  <si>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</si>
  <si>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</si>
  <si>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2025-06-21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</si>
  <si>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</si>
  <si>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</si>
  <si>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</si>
  <si>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</si>
  <si>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</si>
  <si>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</si>
  <si>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</si>
  <si>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</si>
  <si>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</si>
  <si>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</si>
  <si>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</si>
  <si>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</si>
  <si>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</si>
  <si>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</si>
  <si>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</si>
  <si>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</si>
  <si>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</si>
  <si>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</si>
  <si>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</si>
  <si>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</si>
  <si>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</si>
  <si>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</si>
  <si>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</si>
  <si>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</si>
  <si>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</si>
  <si>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</si>
  <si>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</si>
  <si>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</si>
  <si>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</si>
  <si>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</si>
  <si>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</si>
  <si>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</si>
  <si>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</si>
  <si>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</si>
  <si>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</si>
  <si>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</si>
  <si>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</si>
  <si>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</si>
  <si>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</si>
  <si>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</si>
  <si>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</si>
  <si>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</si>
  <si>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</si>
  <si>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</si>
  <si>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RevenueID</t>
  </si>
  <si>
    <t>TestType</t>
  </si>
  <si>
    <t>NumberOfTests</t>
  </si>
  <si>
    <t>TotalRevenue</t>
  </si>
  <si>
    <t>R00001</t>
  </si>
  <si>
    <t>Malaria RDT</t>
  </si>
  <si>
    <t>R00002</t>
  </si>
  <si>
    <t>Typhoid RDT</t>
  </si>
  <si>
    <t>R00003</t>
  </si>
  <si>
    <t>General Consultation</t>
  </si>
  <si>
    <t>R00004</t>
  </si>
  <si>
    <t>Antenatal Care</t>
  </si>
  <si>
    <t>R00005</t>
  </si>
  <si>
    <t>R00006</t>
  </si>
  <si>
    <t>R00007</t>
  </si>
  <si>
    <t>R00008</t>
  </si>
  <si>
    <t>R00009</t>
  </si>
  <si>
    <t>R00010</t>
  </si>
  <si>
    <t>R00011</t>
  </si>
  <si>
    <t>R00012</t>
  </si>
  <si>
    <t>R00013</t>
  </si>
  <si>
    <t>R00014</t>
  </si>
  <si>
    <t>R00015</t>
  </si>
  <si>
    <t>R00016</t>
  </si>
  <si>
    <t>R00017</t>
  </si>
  <si>
    <t>R00018</t>
  </si>
  <si>
    <t>R00019</t>
  </si>
  <si>
    <t>R00020</t>
  </si>
  <si>
    <t>R00021</t>
  </si>
  <si>
    <t>R00022</t>
  </si>
  <si>
    <t>R00023</t>
  </si>
  <si>
    <t>R00024</t>
  </si>
  <si>
    <t>R00025</t>
  </si>
  <si>
    <t>R00026</t>
  </si>
  <si>
    <t>R00027</t>
  </si>
  <si>
    <t>R00028</t>
  </si>
  <si>
    <t>R00029</t>
  </si>
  <si>
    <t>R00030</t>
  </si>
  <si>
    <t>R00031</t>
  </si>
  <si>
    <t>R00032</t>
  </si>
  <si>
    <t>R00033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</si>
  <si>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</si>
  <si>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</si>
  <si>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</si>
  <si>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</si>
  <si>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</si>
  <si>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</si>
  <si>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</si>
  <si>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</si>
  <si>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</si>
  <si>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</si>
  <si>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</si>
  <si>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</si>
  <si>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</si>
  <si>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</si>
  <si>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</si>
  <si>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</si>
  <si>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</si>
  <si>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</si>
  <si>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</si>
  <si>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</si>
  <si>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</si>
  <si>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</si>
  <si>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</si>
  <si>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</si>
  <si>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</si>
  <si>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</si>
  <si>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</si>
  <si>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</si>
  <si>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</si>
  <si>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</si>
  <si>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</si>
  <si>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</si>
  <si>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</si>
  <si>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</si>
  <si>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</si>
  <si>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</si>
  <si>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</si>
  <si>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</si>
  <si>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</si>
  <si>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</si>
  <si>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</si>
  <si>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</si>
  <si>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</si>
  <si>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</si>
  <si>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</si>
  <si>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</si>
  <si>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</si>
  <si>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</si>
  <si>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</si>
  <si>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</si>
  <si>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</si>
  <si>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</si>
  <si>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</si>
  <si>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</si>
  <si>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</si>
  <si>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</si>
  <si>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</si>
  <si>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</si>
  <si>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</si>
  <si>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</si>
  <si>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</si>
  <si>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</si>
  <si>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</si>
  <si>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</si>
  <si>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</si>
  <si>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</si>
  <si>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</si>
  <si>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</si>
  <si>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</si>
  <si>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</si>
  <si>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</si>
  <si>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</si>
  <si>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</si>
  <si>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</si>
  <si>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</si>
  <si>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</si>
  <si>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</si>
  <si>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</si>
  <si>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</si>
  <si>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</si>
  <si>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</si>
  <si>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</si>
  <si>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</si>
  <si>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</si>
  <si>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</si>
  <si>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</si>
  <si>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</si>
  <si>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</si>
  <si>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</si>
  <si>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</si>
  <si>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</si>
  <si>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</si>
  <si>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</si>
  <si>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</si>
  <si>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</si>
  <si>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</si>
  <si>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</si>
  <si>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</si>
  <si>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</si>
  <si>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</si>
  <si>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</si>
  <si>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</si>
  <si>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</si>
  <si>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</si>
  <si>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</si>
  <si>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</si>
  <si>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</si>
  <si>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</si>
  <si>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</si>
  <si>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</si>
  <si>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</si>
  <si>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</si>
  <si>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</si>
  <si>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</si>
  <si>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</si>
  <si>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</si>
  <si>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</si>
  <si>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</si>
  <si>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</si>
  <si>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</si>
  <si>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</si>
  <si>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</si>
  <si>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</si>
  <si>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</si>
  <si>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</si>
  <si>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</si>
  <si>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</si>
  <si>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</si>
  <si>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</si>
  <si>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</si>
  <si>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</si>
  <si>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</si>
  <si>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</si>
  <si>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</si>
  <si>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</si>
  <si>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</si>
  <si>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</si>
  <si>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</si>
  <si>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</si>
  <si>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</si>
  <si>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</si>
  <si>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</si>
  <si>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</si>
  <si>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</si>
  <si>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</si>
  <si>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</si>
  <si>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</si>
  <si>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</si>
  <si>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</si>
  <si>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</si>
  <si>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</si>
  <si>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</si>
  <si>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</si>
  <si>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</si>
  <si>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</si>
  <si>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</si>
  <si>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</si>
  <si>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</si>
  <si>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</si>
  <si>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</si>
  <si>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</si>
  <si>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</si>
  <si>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</si>
  <si>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</si>
  <si>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</si>
  <si>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</si>
  <si>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</si>
  <si>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</si>
  <si>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</si>
  <si>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</si>
  <si>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</si>
  <si>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</si>
  <si>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</si>
  <si>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</si>
  <si>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</si>
  <si>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</si>
  <si>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</si>
  <si>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</si>
  <si>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</si>
  <si>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</si>
  <si>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</si>
  <si>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</si>
  <si>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</si>
  <si>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</si>
  <si>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</si>
  <si>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</si>
  <si>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</si>
  <si>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</si>
  <si>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</si>
  <si>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</si>
  <si>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</si>
  <si>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</si>
  <si>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</si>
  <si>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</si>
  <si>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</si>
  <si>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</si>
  <si>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</si>
  <si>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</si>
  <si>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</si>
  <si>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</si>
  <si>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</si>
  <si>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</si>
  <si>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</si>
  <si>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</si>
  <si>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</si>
  <si>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</si>
  <si>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</si>
  <si>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</si>
  <si>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</si>
  <si>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</si>
  <si>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</si>
  <si>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</si>
  <si>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</si>
  <si>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</si>
  <si>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</si>
  <si>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</si>
  <si>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</si>
  <si>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</si>
  <si>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</si>
  <si>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</si>
  <si>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</si>
  <si>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</si>
  <si>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</si>
  <si>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</si>
  <si>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</si>
  <si>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</si>
  <si>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</si>
  <si>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</si>
  <si>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</si>
  <si>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</si>
  <si>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</si>
  <si>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</si>
  <si>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</si>
  <si>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</si>
  <si>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</si>
  <si>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</si>
  <si>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</si>
  <si>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</si>
  <si>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</si>
  <si>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</si>
  <si>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</si>
  <si>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</si>
  <si>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</si>
  <si>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</si>
  <si>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</si>
  <si>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</si>
  <si>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</si>
  <si>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</si>
  <si>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</si>
  <si>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</si>
  <si>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</si>
  <si>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</si>
  <si>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</si>
  <si>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</si>
  <si>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</si>
  <si>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</si>
  <si>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</si>
  <si>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</si>
  <si>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</si>
  <si>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</si>
  <si>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</si>
  <si>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</si>
  <si>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</si>
  <si>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</si>
  <si>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</si>
  <si>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</si>
  <si>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</si>
  <si>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</si>
  <si>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</si>
  <si>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</si>
  <si>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</si>
  <si>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</si>
  <si>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</si>
  <si>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</si>
  <si>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</si>
  <si>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</si>
  <si>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</si>
  <si>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</si>
  <si>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</si>
  <si>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</si>
  <si>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</si>
  <si>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</si>
  <si>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</si>
  <si>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</si>
  <si>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</si>
  <si>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</si>
  <si>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</si>
  <si>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</si>
  <si>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</si>
  <si>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</si>
  <si>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</si>
  <si>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</si>
  <si>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</si>
  <si>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</si>
  <si>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</si>
  <si>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</si>
  <si>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</si>
  <si>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</si>
  <si>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</si>
  <si>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</si>
  <si>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</si>
  <si>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</si>
  <si>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</si>
  <si>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</si>
  <si>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</si>
  <si>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</si>
  <si>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</si>
  <si>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</si>
  <si>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</si>
  <si>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</si>
  <si>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</si>
  <si>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</si>
  <si>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</si>
  <si>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</si>
  <si>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</si>
  <si>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</si>
  <si>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</si>
  <si>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</si>
  <si>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</si>
  <si>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</si>
  <si>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</si>
  <si>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</si>
  <si>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</si>
  <si>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</si>
  <si>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</si>
  <si>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</si>
  <si>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</si>
  <si>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</si>
  <si>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</si>
  <si>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</si>
  <si>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</si>
  <si>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</si>
  <si>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</si>
  <si>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</si>
  <si>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</si>
  <si>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</si>
  <si>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</si>
  <si>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</si>
  <si>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</si>
  <si>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</si>
  <si>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</si>
  <si>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</si>
  <si>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</si>
  <si>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</si>
  <si>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</si>
  <si>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</si>
  <si>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</si>
  <si>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</si>
  <si>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</si>
  <si>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</si>
  <si>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</si>
  <si>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</si>
  <si>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</si>
  <si>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</si>
  <si>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</si>
  <si>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</si>
  <si>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</si>
  <si>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</si>
  <si>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</si>
  <si>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</si>
  <si>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</si>
  <si>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</si>
  <si>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</si>
  <si>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</si>
  <si>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</si>
  <si>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</si>
  <si>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</si>
  <si>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</si>
  <si>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</si>
  <si>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</si>
  <si>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</si>
  <si>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</si>
  <si>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</si>
  <si>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</si>
  <si>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</si>
  <si>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</si>
  <si>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</si>
  <si>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</si>
  <si>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</si>
  <si>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</si>
  <si>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</si>
  <si>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</si>
  <si>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</si>
  <si>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</si>
  <si>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</si>
  <si>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</si>
  <si>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</si>
  <si>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</si>
  <si>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</si>
  <si>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</si>
  <si>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</si>
  <si>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</si>
  <si>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</si>
  <si>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</si>
  <si>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</si>
  <si>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</si>
  <si>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</si>
  <si>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</si>
  <si>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</si>
  <si>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</si>
  <si>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</si>
  <si>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</si>
  <si>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</si>
  <si>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</si>
  <si>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</si>
  <si>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</si>
  <si>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</si>
  <si>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</si>
  <si>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</si>
  <si>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</si>
  <si>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</si>
  <si>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</si>
  <si>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</si>
  <si>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</si>
  <si>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</si>
  <si>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</si>
  <si>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</si>
  <si>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</si>
  <si>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</si>
  <si>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</si>
  <si>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</si>
  <si>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</si>
  <si>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</si>
  <si>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</si>
  <si>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</si>
  <si>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</si>
  <si>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</si>
  <si>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</si>
  <si>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</si>
  <si>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</si>
  <si>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</si>
  <si>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</si>
  <si>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</si>
  <si>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</si>
  <si>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</si>
  <si>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</si>
  <si>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</si>
  <si>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</si>
  <si>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</si>
  <si>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</si>
  <si>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</si>
  <si>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</si>
  <si>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</si>
  <si>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</si>
  <si>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</si>
  <si>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</si>
  <si>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</si>
  <si>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</si>
  <si>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</si>
  <si>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</si>
  <si>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</si>
  <si>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</si>
  <si>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</si>
  <si>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</si>
  <si>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</si>
  <si>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</si>
  <si>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</si>
  <si>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</si>
  <si>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</si>
  <si>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</si>
  <si>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</si>
  <si>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</si>
  <si>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</si>
  <si>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</si>
  <si>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</si>
  <si>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</si>
  <si>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</si>
  <si>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</si>
  <si>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</si>
  <si>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</si>
  <si>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</si>
  <si>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</si>
  <si>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</si>
  <si>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</si>
  <si>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</si>
  <si>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</si>
  <si>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</si>
  <si>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</si>
  <si>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</si>
  <si>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</si>
  <si>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</si>
  <si>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</si>
  <si>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</si>
  <si>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</si>
  <si>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</si>
  <si>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</si>
  <si>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</si>
  <si>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</si>
  <si>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</si>
  <si>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</si>
  <si>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</si>
  <si>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</si>
  <si>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</si>
  <si>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</si>
  <si>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</si>
  <si>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</si>
  <si>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</si>
  <si>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</si>
  <si>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</si>
  <si>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</si>
  <si>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</si>
  <si>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</si>
  <si>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</si>
  <si>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</si>
  <si>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</si>
  <si>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</si>
  <si>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</si>
  <si>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</si>
  <si>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</si>
  <si>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</si>
  <si>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</si>
  <si>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</si>
  <si>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</si>
  <si>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</si>
  <si>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</si>
  <si>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</si>
  <si>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</si>
  <si>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</si>
  <si>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</si>
  <si>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</si>
  <si>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</si>
  <si>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</si>
  <si>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</si>
  <si>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</si>
  <si>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</si>
  <si>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</si>
  <si>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</si>
  <si>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</si>
  <si>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</si>
  <si>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</si>
  <si>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</si>
  <si>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</si>
  <si>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</si>
  <si>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</si>
  <si>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</si>
  <si>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</si>
  <si>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</si>
  <si>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</si>
  <si>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</si>
  <si>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</si>
  <si>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</si>
  <si>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</si>
  <si>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</si>
  <si>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</si>
  <si>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</si>
  <si>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</si>
  <si>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</si>
  <si>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</si>
  <si>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</si>
  <si>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</si>
  <si>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</si>
  <si>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</si>
  <si>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</si>
  <si>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</si>
  <si>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</si>
  <si>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</si>
  <si>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</si>
  <si>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</si>
  <si>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</si>
  <si>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</si>
  <si>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</si>
  <si>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</si>
  <si>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</si>
  <si>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</si>
  <si>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</si>
  <si>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</si>
  <si>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</si>
  <si>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</si>
  <si>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</si>
  <si>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</si>
  <si>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</si>
  <si>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</si>
  <si>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</si>
  <si>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</si>
  <si>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</si>
  <si>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</si>
  <si>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</si>
  <si>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</si>
  <si>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</si>
  <si>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</si>
  <si>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</si>
  <si>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</si>
  <si>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</si>
  <si>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</si>
  <si>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</si>
  <si>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</si>
  <si>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</si>
  <si>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</si>
  <si>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</si>
  <si>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</si>
  <si>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</si>
  <si>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</si>
  <si>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</si>
  <si>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</si>
  <si>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</si>
  <si>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</si>
  <si>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</si>
  <si>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</si>
  <si>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</si>
  <si>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</si>
  <si>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</si>
  <si>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</si>
  <si>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</si>
  <si>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</si>
  <si>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</si>
  <si>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</si>
  <si>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</si>
  <si>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</si>
  <si>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</si>
  <si>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</si>
  <si>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</si>
  <si>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</si>
  <si>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</si>
  <si>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</si>
  <si>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</si>
  <si>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</si>
  <si>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</si>
  <si>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</si>
  <si>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</si>
  <si>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</si>
  <si>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</si>
  <si>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</si>
  <si>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</si>
  <si>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</si>
  <si>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</si>
  <si>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</si>
  <si>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</si>
  <si>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</si>
  <si>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</si>
  <si>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</si>
  <si>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</si>
  <si>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</si>
  <si>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</si>
  <si>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</si>
  <si>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</si>
  <si>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</si>
  <si>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</si>
  <si>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</si>
  <si>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</si>
  <si>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</si>
  <si>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</si>
  <si>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</si>
  <si>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</si>
  <si>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</si>
  <si>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</si>
  <si>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</si>
  <si>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</si>
  <si>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</si>
  <si>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</si>
  <si>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</si>
  <si>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</si>
  <si>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</si>
  <si>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</si>
  <si>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</si>
  <si>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</si>
  <si>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</si>
  <si>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</si>
  <si>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</si>
  <si>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</si>
  <si>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</si>
  <si>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</si>
  <si>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</si>
  <si>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</si>
  <si>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</si>
  <si>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</si>
  <si>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</si>
  <si>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</si>
  <si>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</si>
  <si>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</si>
  <si>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</si>
  <si>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</si>
  <si>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</si>
  <si>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</si>
  <si>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</si>
  <si>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</si>
  <si>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</si>
  <si>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</si>
  <si>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</si>
  <si>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</si>
  <si>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</si>
  <si>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</si>
  <si>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</si>
  <si>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</si>
  <si>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</si>
  <si>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</si>
  <si>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</si>
  <si>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</si>
  <si>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</si>
  <si>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</si>
  <si>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</si>
  <si>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</si>
  <si>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</si>
  <si>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</si>
  <si>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</si>
  <si>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</si>
  <si>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</si>
  <si>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</si>
  <si>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</si>
  <si>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</si>
  <si>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</si>
  <si>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</si>
  <si>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</si>
  <si>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</si>
  <si>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</si>
  <si>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</si>
  <si>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</si>
  <si>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</si>
  <si>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</si>
  <si>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</si>
  <si>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</si>
  <si>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</si>
  <si>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</si>
  <si>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</si>
  <si>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</si>
  <si>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</si>
  <si>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</si>
  <si>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</si>
  <si>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</si>
  <si>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</si>
  <si>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</si>
  <si>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</si>
  <si>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</si>
  <si>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</si>
  <si>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</si>
  <si>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</si>
  <si>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</si>
  <si>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</si>
  <si>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</si>
  <si>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</si>
  <si>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</si>
  <si>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</si>
  <si>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</si>
  <si>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</si>
  <si>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</si>
  <si>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</si>
  <si>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</si>
  <si>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</si>
  <si>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</si>
  <si>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</si>
  <si>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</si>
  <si>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</si>
  <si>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</si>
  <si>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</si>
  <si>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</si>
  <si>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</si>
  <si>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</si>
  <si>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</si>
  <si>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</si>
  <si>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</si>
  <si>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</si>
  <si>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</si>
  <si>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</si>
  <si>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</si>
  <si>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</si>
  <si>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</si>
  <si>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</si>
  <si>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</si>
  <si>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</si>
  <si>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</si>
  <si>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</si>
  <si>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</si>
  <si>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</si>
  <si>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</si>
  <si>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</si>
  <si>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</si>
  <si>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</si>
  <si>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</si>
  <si>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</si>
  <si>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Category</t>
  </si>
  <si>
    <t>LeadTime_Normal</t>
  </si>
  <si>
    <t>Cost</t>
  </si>
  <si>
    <t>Malaria RDT Pack</t>
  </si>
  <si>
    <t>Diagnostics</t>
  </si>
  <si>
    <t>Test Kit</t>
  </si>
  <si>
    <t>Typhoid RDT Pack</t>
  </si>
  <si>
    <t>H. Pylori RDT</t>
  </si>
  <si>
    <t>Microscope Slides</t>
  </si>
  <si>
    <t>Lab Supply</t>
  </si>
  <si>
    <t>Consumable</t>
  </si>
  <si>
    <t>Cover Slides</t>
  </si>
  <si>
    <t>Latex Gloves (XL)</t>
  </si>
  <si>
    <t>PPE</t>
  </si>
  <si>
    <t>Latex Gloves (L)</t>
  </si>
  <si>
    <t>Latex Gloves (M)</t>
  </si>
  <si>
    <t>Syringe 2cc</t>
  </si>
  <si>
    <t>Syringe 5cc</t>
  </si>
  <si>
    <t>Gauze Pads</t>
  </si>
  <si>
    <t>Cotton Swabs</t>
  </si>
  <si>
    <t>Antiseptic Solution</t>
  </si>
  <si>
    <t>Supplies</t>
  </si>
  <si>
    <t>Distilled Water</t>
  </si>
  <si>
    <t>Collection Tubes (EDTA)</t>
  </si>
  <si>
    <t>Collection Tubes (Serum)</t>
  </si>
  <si>
    <t>Test Strips (Urinalysis)</t>
  </si>
  <si>
    <t>Glucose Test Strips</t>
  </si>
  <si>
    <t>Alcohol (70%)</t>
  </si>
  <si>
    <t>Pipette Tips (10μL)</t>
  </si>
  <si>
    <t>Pipette Tips (100μL)</t>
  </si>
  <si>
    <t>Pipette Tips (1000μL)</t>
  </si>
  <si>
    <t>Hemocytometer</t>
  </si>
  <si>
    <t>Equipment</t>
  </si>
  <si>
    <t>Microscope Lens Cleaner</t>
  </si>
  <si>
    <t>Hand Sanitizer</t>
  </si>
  <si>
    <t>Biohazard Bags</t>
  </si>
  <si>
    <t>Sharps Container</t>
  </si>
  <si>
    <t>Face Masks (N95)</t>
  </si>
  <si>
    <t>Blood Pressure Cuff</t>
  </si>
  <si>
    <t>Thermometer (Digital)</t>
  </si>
  <si>
    <t>Stethoscope</t>
  </si>
  <si>
    <t>Cotton Wool</t>
  </si>
  <si>
    <t>Bandages (Assorted)</t>
  </si>
  <si>
    <t>Antiseptic Plaster</t>
  </si>
  <si>
    <t>Chlorine Disinfectant</t>
  </si>
  <si>
    <t>Average Daily Consumption</t>
  </si>
  <si>
    <t>Peak Daily Usage</t>
  </si>
  <si>
    <t>Safety Stock</t>
  </si>
  <si>
    <t>Average Lead Time</t>
  </si>
  <si>
    <t xml:space="preserve"> Reorder Point</t>
  </si>
  <si>
    <t>Typhoid Stockout Days</t>
  </si>
  <si>
    <t>Typhoid Active Days</t>
  </si>
  <si>
    <t>Malaria Active Days</t>
  </si>
  <si>
    <t>Malaria Stockout Days</t>
  </si>
  <si>
    <t>Typhoid Missed Tests</t>
  </si>
  <si>
    <t>Malaria Missed Tests</t>
  </si>
  <si>
    <t>Safety Buffer Solution</t>
  </si>
  <si>
    <t>Lead Time Demand Formula</t>
  </si>
  <si>
    <t>Reorder Point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</si>
</sst>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2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12"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  <dxf>
      <numFmt numFmtId="1" formatCode="0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9"/>
          <bgColor rgb="FF1F4E79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14ED3-2D0A-4838-ACE8-B5757DCD2EAD}" name="Table1" displayName="Table1" ref="A1:K1054" totalsRowShown="0" headerRowDxfId="11">
  <autoFilter ref="A1:K1054" xr:uid="{F3214ED3-2D0A-4838-ACE8-B5757DCD2EAD}"/>
  <tableColumns count="11">
    <tableColumn id="1" xr3:uid="{4570E6AF-D0E9-4071-ADCE-3AB2004A1CD2}" name="TransactionID"/>
    <tableColumn id="2" xr3:uid="{0871D216-270B-4D8F-BB8E-3B92D46D0B86}" name="Date" dataDxfId="10"/>
    <tableColumn id="3" xr3:uid="{DAFAD07B-7247-41D4-8449-EC2B6234AAA3}" name="ProductID"/>
    <tableColumn id="4" xr3:uid="{720B940B-23FB-46F0-A9C5-9A6317048A52}" name="TransactionType"/>
    <tableColumn id="5" xr3:uid="{2A7AEB6C-4F7E-4106-AF97-FB4D19EB0256}" name="QuantityPacks" dataDxfId="9"/>
    <tableColumn id="6" xr3:uid="{84C5EE5B-AE21-414E-83F7-5AB291E9FF48}" name="QuantityPieces"/>
    <tableColumn id="7" xr3:uid="{82256712-04BE-4E86-AF03-CDDDA70165C2}" name="Department"/>
    <tableColumn id="8" xr3:uid="{3CC12901-303A-4A06-985D-FCE46A47A7A8}" name="SupplierID"/>
    <tableColumn id="9" xr3:uid="{74939321-57A3-41CE-B655-D438D196B2A8}" name="RecordedBy"/>
    <tableColumn id="10" xr3:uid="{909C79BF-6F03-47B3-844B-8BF71F72A3B7}" name="Recorded"/>
    <tableColumn id="11" xr3:uid="{E0DE3894-26FE-4239-AD4B-74F5DB7FAF65}" name="BalanceAfter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10FF48-430C-4143-A56E-55B6E48719EF}" name="Table2" displayName="Table2" ref="A1:G1816" totalsRowShown="0" headerRowDxfId="8">
  <autoFilter ref="A1:G1816" xr:uid="{F010FF48-430C-4143-A56E-55B6E48719EF}"/>
  <tableColumns count="7">
    <tableColumn id="1" xr3:uid="{5EE76C65-E433-438E-884A-5E5E922F51B8}" name="UsageID"/>
    <tableColumn id="2" xr3:uid="{C7A6E49D-ABAD-4950-92C7-A7A6D86D38EF}" name="Date" dataDxfId="7"/>
    <tableColumn id="3" xr3:uid="{57CDE4C1-3EB2-4330-9DB8-7159DD6C56AF}" name="ProductID"/>
    <tableColumn id="4" xr3:uid="{385BCEE1-365D-41E8-B8ED-B043647F70B7}" name="UsageQuantity" dataDxfId="6"/>
    <tableColumn id="5" xr3:uid="{F1248667-C857-49A8-9EB3-3A6556C7C68C}" name="Department"/>
    <tableColumn id="6" xr3:uid="{09C63F18-5866-425E-93FB-A2780ECDEA9E}" name="ProcedureType"/>
    <tableColumn id="7" xr3:uid="{BCAFF3AD-43AA-4DCD-A19C-F0E354024D4D}" name="RecordedB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7B8D73-3532-4A2C-9158-EB84F7441ACD}" name="Table3" displayName="Table3" ref="A1:F802" totalsRowShown="0" headerRowDxfId="5">
  <autoFilter ref="A1:F802" xr:uid="{947B8D73-3532-4A2C-9158-EB84F7441ACD}"/>
  <tableColumns count="6">
    <tableColumn id="1" xr3:uid="{27AE0E1A-5FDF-4D82-B07E-6BC683BDA97C}" name="RevenueID"/>
    <tableColumn id="2" xr3:uid="{FDA8F66A-89BD-4EC4-876B-3C214A1F299E}" name="Date" dataDxfId="4"/>
    <tableColumn id="3" xr3:uid="{6C03B96B-5198-4E62-A383-AD27E90B55B9}" name="TestType" dataDxfId="3"/>
    <tableColumn id="4" xr3:uid="{0C3FDA38-59AA-4A71-9926-0A47D61706F9}" name="NumberOfTests"/>
    <tableColumn id="5" xr3:uid="{5FE01806-CE74-411C-87D3-0C428789FFC0}" name="TotalRevenue" dataDxfId="2"/>
    <tableColumn id="6" xr3:uid="{F965FA2B-F53B-4B6B-95C1-032E6AE889B2}" name="Department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4FDBF3-A86F-4302-9BE4-35517D166119}" name="Table4" displayName="Table4" ref="A1:G36" totalsRowShown="0" headerRowDxfId="1">
  <autoFilter ref="A1:G36" xr:uid="{154FDBF3-A86F-4302-9BE4-35517D166119}"/>
  <tableColumns count="7">
    <tableColumn id="1" xr3:uid="{5F2315B1-5482-4074-8FE9-EA7758602412}" name="ProductID"/>
    <tableColumn id="2" xr3:uid="{0A7D3F4C-38EA-4EEE-98C8-7B47A14FC196}" name="Malaria RDT Pack"/>
    <tableColumn id="3" xr3:uid="{176EC0D0-FBEC-431B-926F-7AA6468BE792}" name="Category"/>
    <tableColumn id="4" xr3:uid="{346AAE7A-F636-4DD5-8FE3-4A6E4AAFCCC2}" name="Type"/>
    <tableColumn id="5" xr3:uid="{4FD4DBD0-406E-47B1-A493-426C4EAD27BD}" name="SupplierID"/>
    <tableColumn id="6" xr3:uid="{662A8D15-3EB2-4923-9F56-A9D66EE35874}" name="LeadTime_Normal"/>
    <tableColumn id="7" xr3:uid="{EF8C8486-1BB9-4C97-9122-A90CC8AA437D}" name="Cos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sqref="A1:XFD2"/>
    </sheetView>
  </sheetViews>
  <sheetFormatPr defaultRowHeight="14.5" x14ac:dyDescent="0.35"/>
  <cols>
    <col min="1" max="1" width="28" customWidth="1"/>
    <col min="2" max="2" width="18" customWidth="1"/>
    <col min="3" max="3" width="6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13</v>
      </c>
    </row>
    <row r="7" spans="1:3" x14ac:dyDescent="0.35">
      <c r="A7" t="s">
        <v>14</v>
      </c>
      <c r="B7" t="s">
        <v>15</v>
      </c>
      <c r="C7" t="s">
        <v>16</v>
      </c>
    </row>
    <row r="8" spans="1:3" x14ac:dyDescent="0.35">
      <c r="A8" t="s">
        <v>17</v>
      </c>
      <c r="B8" t="s">
        <v>15</v>
      </c>
      <c r="C8" t="s">
        <v>18</v>
      </c>
    </row>
    <row r="9" spans="1:3" x14ac:dyDescent="0.35">
      <c r="A9" t="s">
        <v>19</v>
      </c>
      <c r="B9" t="s">
        <v>15</v>
      </c>
      <c r="C9" t="s">
        <v>20</v>
      </c>
    </row>
    <row r="10" spans="1:3" x14ac:dyDescent="0.35">
      <c r="A10" t="s">
        <v>21</v>
      </c>
      <c r="B10" t="s">
        <v>15</v>
      </c>
      <c r="C10" t="s">
        <v>22</v>
      </c>
    </row>
    <row r="11" spans="1:3" x14ac:dyDescent="0.35">
      <c r="A11" t="s">
        <v>23</v>
      </c>
      <c r="B11" t="s">
        <v>15</v>
      </c>
      <c r="C11" t="s">
        <v>24</v>
      </c>
    </row>
    <row r="12" spans="1:3" x14ac:dyDescent="0.35">
      <c r="A12" t="s">
        <v>25</v>
      </c>
      <c r="B12" t="s">
        <v>26</v>
      </c>
      <c r="C12" t="s">
        <v>27</v>
      </c>
    </row>
    <row r="13" spans="1:3" x14ac:dyDescent="0.35">
      <c r="A13" t="s">
        <v>28</v>
      </c>
      <c r="B13" t="s">
        <v>26</v>
      </c>
      <c r="C13" t="s">
        <v>29</v>
      </c>
    </row>
    <row r="14" spans="1:3" x14ac:dyDescent="0.35">
      <c r="A14" t="s">
        <v>30</v>
      </c>
      <c r="B14" t="s">
        <v>26</v>
      </c>
      <c r="C1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54"/>
  <sheetViews>
    <sheetView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17" customWidth="1"/>
    <col min="2" max="2" width="14" style="4" customWidth="1"/>
    <col min="3" max="3" width="13" customWidth="1"/>
    <col min="4" max="4" width="19" customWidth="1"/>
    <col min="5" max="5" width="17" style="7" customWidth="1"/>
    <col min="6" max="6" width="18" customWidth="1"/>
    <col min="7" max="9" width="14" customWidth="1"/>
    <col min="10" max="10" width="12" customWidth="1"/>
    <col min="11" max="11" width="16" customWidth="1"/>
  </cols>
  <sheetData>
    <row r="1" spans="1:11" x14ac:dyDescent="0.35">
      <c r="A1" s="2" t="s">
        <v>32</v>
      </c>
      <c r="B1" s="3" t="s">
        <v>33</v>
      </c>
      <c r="C1" s="2" t="s">
        <v>34</v>
      </c>
      <c r="D1" s="2" t="s">
        <v>35</v>
      </c>
      <c r="E1" s="6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</row>
    <row r="2" spans="1:11" x14ac:dyDescent="0.35">
      <c r="A2" t="s">
        <v>43</v>
      </c>
      <c r="B2" s="4" t="s">
        <v>44</v>
      </c>
      <c r="C2">
        <v>1</v>
      </c>
      <c r="D2" t="s">
        <v>45</v>
      </c>
      <c r="E2" s="7">
        <v>-6</v>
      </c>
      <c r="F2">
        <v>-150</v>
      </c>
      <c r="G2">
        <v>1</v>
      </c>
      <c r="I2" t="s">
        <v>46</v>
      </c>
      <c r="J2">
        <v>1</v>
      </c>
      <c r="K2">
        <v>44</v>
      </c>
    </row>
    <row r="3" spans="1:11" x14ac:dyDescent="0.35">
      <c r="A3" t="s">
        <v>47</v>
      </c>
      <c r="B3" s="4" t="s">
        <v>44</v>
      </c>
      <c r="C3">
        <v>4</v>
      </c>
      <c r="D3" t="s">
        <v>45</v>
      </c>
      <c r="E3" s="7">
        <v>-4</v>
      </c>
      <c r="F3">
        <v>-200</v>
      </c>
      <c r="G3">
        <v>1</v>
      </c>
      <c r="I3" t="s">
        <v>46</v>
      </c>
      <c r="J3">
        <v>1</v>
      </c>
      <c r="K3">
        <v>96</v>
      </c>
    </row>
    <row r="4" spans="1:11" x14ac:dyDescent="0.35">
      <c r="A4" t="s">
        <v>48</v>
      </c>
      <c r="B4" s="4" t="s">
        <v>44</v>
      </c>
      <c r="C4">
        <v>7</v>
      </c>
      <c r="D4" t="s">
        <v>45</v>
      </c>
      <c r="E4" s="7">
        <v>-6</v>
      </c>
      <c r="F4">
        <v>-300</v>
      </c>
      <c r="G4">
        <v>1</v>
      </c>
      <c r="I4" t="s">
        <v>46</v>
      </c>
      <c r="J4">
        <v>1</v>
      </c>
      <c r="K4">
        <v>94</v>
      </c>
    </row>
    <row r="5" spans="1:11" x14ac:dyDescent="0.35">
      <c r="A5" t="s">
        <v>49</v>
      </c>
      <c r="B5" s="4" t="s">
        <v>44</v>
      </c>
      <c r="C5">
        <v>8</v>
      </c>
      <c r="D5" t="s">
        <v>45</v>
      </c>
      <c r="E5" s="7">
        <v>-5</v>
      </c>
      <c r="F5">
        <v>-250</v>
      </c>
      <c r="G5">
        <v>1</v>
      </c>
      <c r="I5" t="s">
        <v>46</v>
      </c>
      <c r="J5">
        <v>1</v>
      </c>
      <c r="K5">
        <v>95</v>
      </c>
    </row>
    <row r="6" spans="1:11" x14ac:dyDescent="0.35">
      <c r="A6" t="s">
        <v>50</v>
      </c>
      <c r="B6" s="4" t="s">
        <v>44</v>
      </c>
      <c r="C6">
        <v>9</v>
      </c>
      <c r="D6" t="s">
        <v>45</v>
      </c>
      <c r="E6" s="7">
        <v>-3</v>
      </c>
      <c r="F6">
        <v>-150</v>
      </c>
      <c r="G6">
        <v>1</v>
      </c>
      <c r="I6" t="s">
        <v>46</v>
      </c>
      <c r="J6">
        <v>1</v>
      </c>
      <c r="K6">
        <v>97</v>
      </c>
    </row>
    <row r="7" spans="1:11" x14ac:dyDescent="0.35">
      <c r="A7" t="s">
        <v>51</v>
      </c>
      <c r="B7" s="4" t="s">
        <v>44</v>
      </c>
      <c r="C7">
        <v>10</v>
      </c>
      <c r="D7" t="s">
        <v>45</v>
      </c>
      <c r="E7" s="7">
        <v>-6</v>
      </c>
      <c r="F7">
        <v>-300</v>
      </c>
      <c r="G7">
        <v>1</v>
      </c>
      <c r="I7" t="s">
        <v>46</v>
      </c>
      <c r="J7">
        <v>1</v>
      </c>
      <c r="K7">
        <v>94</v>
      </c>
    </row>
    <row r="8" spans="1:11" x14ac:dyDescent="0.35">
      <c r="A8" t="s">
        <v>52</v>
      </c>
      <c r="B8" s="4" t="s">
        <v>44</v>
      </c>
      <c r="C8">
        <v>11</v>
      </c>
      <c r="D8" t="s">
        <v>45</v>
      </c>
      <c r="E8" s="7">
        <v>-6</v>
      </c>
      <c r="F8">
        <v>-300</v>
      </c>
      <c r="G8">
        <v>1</v>
      </c>
      <c r="I8" t="s">
        <v>46</v>
      </c>
      <c r="J8">
        <v>1</v>
      </c>
      <c r="K8">
        <v>94</v>
      </c>
    </row>
    <row r="9" spans="1:11" x14ac:dyDescent="0.35">
      <c r="A9" t="s">
        <v>53</v>
      </c>
      <c r="B9" s="4" t="s">
        <v>44</v>
      </c>
      <c r="C9">
        <v>1</v>
      </c>
      <c r="D9" t="s">
        <v>45</v>
      </c>
      <c r="E9" s="7">
        <v>-7</v>
      </c>
      <c r="F9">
        <v>-175</v>
      </c>
      <c r="G9">
        <v>2</v>
      </c>
      <c r="I9" t="s">
        <v>54</v>
      </c>
      <c r="J9">
        <v>1</v>
      </c>
      <c r="K9">
        <v>37</v>
      </c>
    </row>
    <row r="10" spans="1:11" x14ac:dyDescent="0.35">
      <c r="A10" t="s">
        <v>55</v>
      </c>
      <c r="B10" s="4" t="s">
        <v>44</v>
      </c>
      <c r="C10">
        <v>4</v>
      </c>
      <c r="D10" t="s">
        <v>45</v>
      </c>
      <c r="E10" s="7">
        <v>-5</v>
      </c>
      <c r="F10">
        <v>-250</v>
      </c>
      <c r="G10">
        <v>2</v>
      </c>
      <c r="I10" t="s">
        <v>46</v>
      </c>
      <c r="J10">
        <v>1</v>
      </c>
      <c r="K10">
        <v>91</v>
      </c>
    </row>
    <row r="11" spans="1:11" x14ac:dyDescent="0.35">
      <c r="A11" t="s">
        <v>56</v>
      </c>
      <c r="B11" s="4" t="s">
        <v>44</v>
      </c>
      <c r="C11">
        <v>7</v>
      </c>
      <c r="D11" t="s">
        <v>45</v>
      </c>
      <c r="E11" s="7">
        <v>-7</v>
      </c>
      <c r="F11">
        <v>-350</v>
      </c>
      <c r="G11">
        <v>2</v>
      </c>
      <c r="I11" t="s">
        <v>46</v>
      </c>
      <c r="J11">
        <v>1</v>
      </c>
      <c r="K11">
        <v>87</v>
      </c>
    </row>
    <row r="12" spans="1:11" x14ac:dyDescent="0.35">
      <c r="A12" t="s">
        <v>57</v>
      </c>
      <c r="B12" s="4" t="s">
        <v>44</v>
      </c>
      <c r="C12">
        <v>8</v>
      </c>
      <c r="D12" t="s">
        <v>45</v>
      </c>
      <c r="E12" s="7">
        <v>-4</v>
      </c>
      <c r="F12">
        <v>-200</v>
      </c>
      <c r="G12">
        <v>2</v>
      </c>
      <c r="I12" t="s">
        <v>46</v>
      </c>
      <c r="J12">
        <v>1</v>
      </c>
      <c r="K12">
        <v>91</v>
      </c>
    </row>
    <row r="13" spans="1:11" x14ac:dyDescent="0.35">
      <c r="A13" t="s">
        <v>58</v>
      </c>
      <c r="B13" s="4" t="s">
        <v>44</v>
      </c>
      <c r="C13">
        <v>9</v>
      </c>
      <c r="D13" t="s">
        <v>45</v>
      </c>
      <c r="E13" s="7">
        <v>-8</v>
      </c>
      <c r="F13">
        <v>-400</v>
      </c>
      <c r="G13">
        <v>2</v>
      </c>
      <c r="I13" t="s">
        <v>46</v>
      </c>
      <c r="J13">
        <v>1</v>
      </c>
      <c r="K13">
        <v>89</v>
      </c>
    </row>
    <row r="14" spans="1:11" x14ac:dyDescent="0.35">
      <c r="A14" t="s">
        <v>59</v>
      </c>
      <c r="B14" s="4" t="s">
        <v>44</v>
      </c>
      <c r="C14">
        <v>10</v>
      </c>
      <c r="D14" t="s">
        <v>45</v>
      </c>
      <c r="E14" s="7">
        <v>-3</v>
      </c>
      <c r="F14">
        <v>-150</v>
      </c>
      <c r="G14">
        <v>2</v>
      </c>
      <c r="I14" t="s">
        <v>46</v>
      </c>
      <c r="J14">
        <v>1</v>
      </c>
      <c r="K14">
        <v>91</v>
      </c>
    </row>
    <row r="15" spans="1:11" x14ac:dyDescent="0.35">
      <c r="A15" t="s">
        <v>60</v>
      </c>
      <c r="B15" s="4" t="s">
        <v>44</v>
      </c>
      <c r="C15">
        <v>12</v>
      </c>
      <c r="D15" t="s">
        <v>45</v>
      </c>
      <c r="E15" s="7">
        <v>-6</v>
      </c>
      <c r="F15">
        <v>-300</v>
      </c>
      <c r="G15">
        <v>2</v>
      </c>
      <c r="I15" t="s">
        <v>46</v>
      </c>
      <c r="J15">
        <v>1</v>
      </c>
      <c r="K15">
        <v>94</v>
      </c>
    </row>
    <row r="16" spans="1:11" x14ac:dyDescent="0.35">
      <c r="A16" t="s">
        <v>61</v>
      </c>
      <c r="B16" s="4" t="s">
        <v>44</v>
      </c>
      <c r="C16">
        <v>1</v>
      </c>
      <c r="D16" t="s">
        <v>45</v>
      </c>
      <c r="E16" s="7">
        <v>-6</v>
      </c>
      <c r="F16">
        <v>-150</v>
      </c>
      <c r="G16">
        <v>3</v>
      </c>
      <c r="I16" t="s">
        <v>62</v>
      </c>
      <c r="J16">
        <v>1</v>
      </c>
      <c r="K16">
        <v>31</v>
      </c>
    </row>
    <row r="17" spans="1:11" x14ac:dyDescent="0.35">
      <c r="A17" t="s">
        <v>63</v>
      </c>
      <c r="B17" s="4" t="s">
        <v>44</v>
      </c>
      <c r="C17">
        <v>4</v>
      </c>
      <c r="D17" t="s">
        <v>45</v>
      </c>
      <c r="E17" s="7">
        <v>-5</v>
      </c>
      <c r="F17">
        <v>-250</v>
      </c>
      <c r="G17">
        <v>3</v>
      </c>
      <c r="I17" t="s">
        <v>46</v>
      </c>
      <c r="J17">
        <v>1</v>
      </c>
      <c r="K17">
        <v>86</v>
      </c>
    </row>
    <row r="18" spans="1:11" x14ac:dyDescent="0.35">
      <c r="A18" t="s">
        <v>64</v>
      </c>
      <c r="B18" s="4" t="s">
        <v>44</v>
      </c>
      <c r="C18">
        <v>5</v>
      </c>
      <c r="D18" t="s">
        <v>45</v>
      </c>
      <c r="E18" s="7">
        <v>-5</v>
      </c>
      <c r="F18">
        <v>-250</v>
      </c>
      <c r="G18">
        <v>3</v>
      </c>
      <c r="I18" t="s">
        <v>46</v>
      </c>
      <c r="J18">
        <v>1</v>
      </c>
      <c r="K18">
        <v>95</v>
      </c>
    </row>
    <row r="19" spans="1:11" x14ac:dyDescent="0.35">
      <c r="A19" t="s">
        <v>65</v>
      </c>
      <c r="B19" s="4" t="s">
        <v>44</v>
      </c>
      <c r="C19">
        <v>8</v>
      </c>
      <c r="D19" t="s">
        <v>45</v>
      </c>
      <c r="E19" s="7">
        <v>-4</v>
      </c>
      <c r="F19">
        <v>-200</v>
      </c>
      <c r="G19">
        <v>3</v>
      </c>
      <c r="I19" t="s">
        <v>46</v>
      </c>
      <c r="J19">
        <v>1</v>
      </c>
      <c r="K19">
        <v>87</v>
      </c>
    </row>
    <row r="20" spans="1:11" x14ac:dyDescent="0.35">
      <c r="A20" t="s">
        <v>66</v>
      </c>
      <c r="B20" s="4" t="s">
        <v>44</v>
      </c>
      <c r="C20">
        <v>9</v>
      </c>
      <c r="D20" t="s">
        <v>45</v>
      </c>
      <c r="E20" s="7">
        <v>-7</v>
      </c>
      <c r="F20">
        <v>-350</v>
      </c>
      <c r="G20">
        <v>3</v>
      </c>
      <c r="I20" t="s">
        <v>46</v>
      </c>
      <c r="J20">
        <v>1</v>
      </c>
      <c r="K20">
        <v>82</v>
      </c>
    </row>
    <row r="21" spans="1:11" x14ac:dyDescent="0.35">
      <c r="A21" t="s">
        <v>67</v>
      </c>
      <c r="B21" s="4" t="s">
        <v>44</v>
      </c>
      <c r="C21">
        <v>10</v>
      </c>
      <c r="D21" t="s">
        <v>45</v>
      </c>
      <c r="E21" s="7">
        <v>-7</v>
      </c>
      <c r="F21">
        <v>-350</v>
      </c>
      <c r="G21">
        <v>3</v>
      </c>
      <c r="I21" t="s">
        <v>46</v>
      </c>
      <c r="J21">
        <v>1</v>
      </c>
      <c r="K21">
        <v>84</v>
      </c>
    </row>
    <row r="22" spans="1:11" x14ac:dyDescent="0.35">
      <c r="A22" t="s">
        <v>68</v>
      </c>
      <c r="B22" s="4" t="s">
        <v>44</v>
      </c>
      <c r="C22">
        <v>12</v>
      </c>
      <c r="D22" t="s">
        <v>45</v>
      </c>
      <c r="E22" s="7">
        <v>-8</v>
      </c>
      <c r="F22">
        <v>-400</v>
      </c>
      <c r="G22">
        <v>3</v>
      </c>
      <c r="I22" t="s">
        <v>46</v>
      </c>
      <c r="J22">
        <v>1</v>
      </c>
      <c r="K22">
        <v>86</v>
      </c>
    </row>
    <row r="23" spans="1:11" x14ac:dyDescent="0.35">
      <c r="A23" t="s">
        <v>69</v>
      </c>
      <c r="B23" s="4" t="s">
        <v>70</v>
      </c>
      <c r="C23">
        <v>30</v>
      </c>
      <c r="D23" t="s">
        <v>71</v>
      </c>
      <c r="E23" s="7">
        <v>26</v>
      </c>
      <c r="F23">
        <v>1300</v>
      </c>
      <c r="G23">
        <v>4</v>
      </c>
      <c r="H23">
        <v>2</v>
      </c>
      <c r="I23" t="s">
        <v>72</v>
      </c>
      <c r="J23">
        <v>1</v>
      </c>
      <c r="K23">
        <v>126</v>
      </c>
    </row>
    <row r="24" spans="1:11" x14ac:dyDescent="0.35">
      <c r="A24" t="s">
        <v>73</v>
      </c>
      <c r="B24" s="4" t="s">
        <v>70</v>
      </c>
      <c r="C24">
        <v>24</v>
      </c>
      <c r="D24" t="s">
        <v>71</v>
      </c>
      <c r="E24" s="7">
        <v>41</v>
      </c>
      <c r="F24">
        <v>2050</v>
      </c>
      <c r="G24">
        <v>4</v>
      </c>
      <c r="H24">
        <v>3</v>
      </c>
      <c r="I24" t="s">
        <v>72</v>
      </c>
      <c r="J24">
        <v>1</v>
      </c>
      <c r="K24">
        <v>141</v>
      </c>
    </row>
    <row r="25" spans="1:11" x14ac:dyDescent="0.35">
      <c r="A25" t="s">
        <v>74</v>
      </c>
      <c r="B25" s="4" t="s">
        <v>70</v>
      </c>
      <c r="C25">
        <v>11</v>
      </c>
      <c r="D25" t="s">
        <v>71</v>
      </c>
      <c r="E25" s="7">
        <v>28</v>
      </c>
      <c r="F25">
        <v>1400</v>
      </c>
      <c r="G25">
        <v>4</v>
      </c>
      <c r="H25">
        <v>4</v>
      </c>
      <c r="I25" t="s">
        <v>72</v>
      </c>
      <c r="J25">
        <v>1</v>
      </c>
      <c r="K25">
        <v>122</v>
      </c>
    </row>
    <row r="26" spans="1:11" x14ac:dyDescent="0.35">
      <c r="A26" t="s">
        <v>75</v>
      </c>
      <c r="B26" s="4" t="s">
        <v>70</v>
      </c>
      <c r="C26">
        <v>23</v>
      </c>
      <c r="D26" t="s">
        <v>71</v>
      </c>
      <c r="E26" s="7">
        <v>42</v>
      </c>
      <c r="F26">
        <v>2100</v>
      </c>
      <c r="G26">
        <v>4</v>
      </c>
      <c r="H26">
        <v>2</v>
      </c>
      <c r="I26" t="s">
        <v>72</v>
      </c>
      <c r="J26">
        <v>1</v>
      </c>
      <c r="K26">
        <v>142</v>
      </c>
    </row>
    <row r="27" spans="1:11" x14ac:dyDescent="0.35">
      <c r="A27" t="s">
        <v>76</v>
      </c>
      <c r="B27" s="4" t="s">
        <v>70</v>
      </c>
      <c r="C27">
        <v>1</v>
      </c>
      <c r="D27" t="s">
        <v>45</v>
      </c>
      <c r="E27" s="7">
        <v>-8</v>
      </c>
      <c r="F27">
        <v>-200</v>
      </c>
      <c r="G27">
        <v>1</v>
      </c>
      <c r="I27" t="s">
        <v>46</v>
      </c>
      <c r="J27">
        <v>1</v>
      </c>
      <c r="K27">
        <v>23</v>
      </c>
    </row>
    <row r="28" spans="1:11" x14ac:dyDescent="0.35">
      <c r="A28" t="s">
        <v>77</v>
      </c>
      <c r="B28" s="4" t="s">
        <v>70</v>
      </c>
      <c r="C28">
        <v>4</v>
      </c>
      <c r="D28" t="s">
        <v>45</v>
      </c>
      <c r="E28" s="7">
        <v>-3</v>
      </c>
      <c r="F28">
        <v>-150</v>
      </c>
      <c r="G28">
        <v>1</v>
      </c>
      <c r="I28" t="s">
        <v>46</v>
      </c>
      <c r="J28">
        <v>1</v>
      </c>
      <c r="K28">
        <v>83</v>
      </c>
    </row>
    <row r="29" spans="1:11" x14ac:dyDescent="0.35">
      <c r="A29" t="s">
        <v>78</v>
      </c>
      <c r="B29" s="4" t="s">
        <v>70</v>
      </c>
      <c r="C29">
        <v>5</v>
      </c>
      <c r="D29" t="s">
        <v>45</v>
      </c>
      <c r="E29" s="7">
        <v>-4</v>
      </c>
      <c r="F29">
        <v>-200</v>
      </c>
      <c r="G29">
        <v>1</v>
      </c>
      <c r="I29" t="s">
        <v>46</v>
      </c>
      <c r="J29">
        <v>1</v>
      </c>
      <c r="K29">
        <v>91</v>
      </c>
    </row>
    <row r="30" spans="1:11" x14ac:dyDescent="0.35">
      <c r="A30" t="s">
        <v>79</v>
      </c>
      <c r="B30" s="4" t="s">
        <v>70</v>
      </c>
      <c r="C30">
        <v>6</v>
      </c>
      <c r="D30" t="s">
        <v>45</v>
      </c>
      <c r="E30" s="7">
        <v>-4</v>
      </c>
      <c r="F30">
        <v>-200</v>
      </c>
      <c r="G30">
        <v>1</v>
      </c>
      <c r="I30" t="s">
        <v>46</v>
      </c>
      <c r="J30">
        <v>1</v>
      </c>
      <c r="K30">
        <v>96</v>
      </c>
    </row>
    <row r="31" spans="1:11" x14ac:dyDescent="0.35">
      <c r="A31" t="s">
        <v>80</v>
      </c>
      <c r="B31" s="4" t="s">
        <v>70</v>
      </c>
      <c r="C31">
        <v>7</v>
      </c>
      <c r="D31" t="s">
        <v>45</v>
      </c>
      <c r="E31" s="7">
        <v>-5</v>
      </c>
      <c r="F31">
        <v>-250</v>
      </c>
      <c r="G31">
        <v>1</v>
      </c>
      <c r="I31" t="s">
        <v>46</v>
      </c>
      <c r="J31">
        <v>1</v>
      </c>
      <c r="K31">
        <v>82</v>
      </c>
    </row>
    <row r="32" spans="1:11" x14ac:dyDescent="0.35">
      <c r="A32" t="s">
        <v>81</v>
      </c>
      <c r="B32" s="4" t="s">
        <v>70</v>
      </c>
      <c r="C32">
        <v>8</v>
      </c>
      <c r="D32" t="s">
        <v>45</v>
      </c>
      <c r="E32" s="7">
        <v>-7</v>
      </c>
      <c r="F32">
        <v>-350</v>
      </c>
      <c r="G32">
        <v>1</v>
      </c>
      <c r="I32" t="s">
        <v>46</v>
      </c>
      <c r="J32">
        <v>1</v>
      </c>
      <c r="K32">
        <v>80</v>
      </c>
    </row>
    <row r="33" spans="1:11" x14ac:dyDescent="0.35">
      <c r="A33" t="s">
        <v>82</v>
      </c>
      <c r="B33" s="4" t="s">
        <v>70</v>
      </c>
      <c r="C33">
        <v>9</v>
      </c>
      <c r="D33" t="s">
        <v>45</v>
      </c>
      <c r="E33" s="7">
        <v>-4</v>
      </c>
      <c r="F33">
        <v>-200</v>
      </c>
      <c r="G33">
        <v>1</v>
      </c>
      <c r="I33" t="s">
        <v>46</v>
      </c>
      <c r="J33">
        <v>1</v>
      </c>
      <c r="K33">
        <v>78</v>
      </c>
    </row>
    <row r="34" spans="1:11" x14ac:dyDescent="0.35">
      <c r="A34" t="s">
        <v>83</v>
      </c>
      <c r="B34" s="4" t="s">
        <v>70</v>
      </c>
      <c r="C34">
        <v>11</v>
      </c>
      <c r="D34" t="s">
        <v>45</v>
      </c>
      <c r="E34" s="7">
        <v>-3</v>
      </c>
      <c r="F34">
        <v>-150</v>
      </c>
      <c r="G34">
        <v>1</v>
      </c>
      <c r="I34" t="s">
        <v>46</v>
      </c>
      <c r="J34">
        <v>1</v>
      </c>
      <c r="K34">
        <v>119</v>
      </c>
    </row>
    <row r="35" spans="1:11" x14ac:dyDescent="0.35">
      <c r="A35" t="s">
        <v>84</v>
      </c>
      <c r="B35" s="4" t="s">
        <v>70</v>
      </c>
      <c r="C35">
        <v>1</v>
      </c>
      <c r="D35" t="s">
        <v>45</v>
      </c>
      <c r="E35" s="7">
        <v>-7</v>
      </c>
      <c r="F35">
        <v>-175</v>
      </c>
      <c r="G35">
        <v>2</v>
      </c>
      <c r="I35" t="s">
        <v>54</v>
      </c>
      <c r="J35">
        <v>1</v>
      </c>
      <c r="K35">
        <v>16</v>
      </c>
    </row>
    <row r="36" spans="1:11" x14ac:dyDescent="0.35">
      <c r="A36" t="s">
        <v>85</v>
      </c>
      <c r="B36" s="4" t="s">
        <v>70</v>
      </c>
      <c r="C36">
        <v>4</v>
      </c>
      <c r="D36" t="s">
        <v>45</v>
      </c>
      <c r="E36" s="7">
        <v>-3</v>
      </c>
      <c r="F36">
        <v>-150</v>
      </c>
      <c r="G36">
        <v>2</v>
      </c>
      <c r="I36" t="s">
        <v>46</v>
      </c>
      <c r="J36">
        <v>1</v>
      </c>
      <c r="K36">
        <v>80</v>
      </c>
    </row>
    <row r="37" spans="1:11" x14ac:dyDescent="0.35">
      <c r="A37" t="s">
        <v>86</v>
      </c>
      <c r="B37" s="4" t="s">
        <v>70</v>
      </c>
      <c r="C37">
        <v>6</v>
      </c>
      <c r="D37" t="s">
        <v>45</v>
      </c>
      <c r="E37" s="7">
        <v>-4</v>
      </c>
      <c r="F37">
        <v>-200</v>
      </c>
      <c r="G37">
        <v>2</v>
      </c>
      <c r="I37" t="s">
        <v>46</v>
      </c>
      <c r="J37">
        <v>1</v>
      </c>
      <c r="K37">
        <v>92</v>
      </c>
    </row>
    <row r="38" spans="1:11" x14ac:dyDescent="0.35">
      <c r="A38" t="s">
        <v>87</v>
      </c>
      <c r="B38" s="4" t="s">
        <v>70</v>
      </c>
      <c r="C38">
        <v>7</v>
      </c>
      <c r="D38" t="s">
        <v>45</v>
      </c>
      <c r="E38" s="7">
        <v>-5</v>
      </c>
      <c r="F38">
        <v>-250</v>
      </c>
      <c r="G38">
        <v>2</v>
      </c>
      <c r="I38" t="s">
        <v>46</v>
      </c>
      <c r="J38">
        <v>1</v>
      </c>
      <c r="K38">
        <v>77</v>
      </c>
    </row>
    <row r="39" spans="1:11" x14ac:dyDescent="0.35">
      <c r="A39" t="s">
        <v>88</v>
      </c>
      <c r="B39" s="4" t="s">
        <v>70</v>
      </c>
      <c r="C39">
        <v>8</v>
      </c>
      <c r="D39" t="s">
        <v>45</v>
      </c>
      <c r="E39" s="7">
        <v>-7</v>
      </c>
      <c r="F39">
        <v>-350</v>
      </c>
      <c r="G39">
        <v>2</v>
      </c>
      <c r="I39" t="s">
        <v>46</v>
      </c>
      <c r="J39">
        <v>1</v>
      </c>
      <c r="K39">
        <v>73</v>
      </c>
    </row>
    <row r="40" spans="1:11" x14ac:dyDescent="0.35">
      <c r="A40" t="s">
        <v>89</v>
      </c>
      <c r="B40" s="4" t="s">
        <v>70</v>
      </c>
      <c r="C40">
        <v>9</v>
      </c>
      <c r="D40" t="s">
        <v>45</v>
      </c>
      <c r="E40" s="7">
        <v>-4</v>
      </c>
      <c r="F40">
        <v>-200</v>
      </c>
      <c r="G40">
        <v>2</v>
      </c>
      <c r="I40" t="s">
        <v>46</v>
      </c>
      <c r="J40">
        <v>1</v>
      </c>
      <c r="K40">
        <v>74</v>
      </c>
    </row>
    <row r="41" spans="1:11" x14ac:dyDescent="0.35">
      <c r="A41" t="s">
        <v>90</v>
      </c>
      <c r="B41" s="4" t="s">
        <v>70</v>
      </c>
      <c r="C41">
        <v>10</v>
      </c>
      <c r="D41" t="s">
        <v>45</v>
      </c>
      <c r="E41" s="7">
        <v>-7</v>
      </c>
      <c r="F41">
        <v>-350</v>
      </c>
      <c r="G41">
        <v>2</v>
      </c>
      <c r="I41" t="s">
        <v>46</v>
      </c>
      <c r="J41">
        <v>1</v>
      </c>
      <c r="K41">
        <v>77</v>
      </c>
    </row>
    <row r="42" spans="1:11" x14ac:dyDescent="0.35">
      <c r="A42" t="s">
        <v>91</v>
      </c>
      <c r="B42" s="4" t="s">
        <v>70</v>
      </c>
      <c r="C42">
        <v>1</v>
      </c>
      <c r="D42" t="s">
        <v>45</v>
      </c>
      <c r="E42" s="7">
        <v>-7</v>
      </c>
      <c r="F42">
        <v>-175</v>
      </c>
      <c r="G42">
        <v>3</v>
      </c>
      <c r="I42" t="s">
        <v>62</v>
      </c>
      <c r="J42">
        <v>1</v>
      </c>
      <c r="K42">
        <v>9</v>
      </c>
    </row>
    <row r="43" spans="1:11" x14ac:dyDescent="0.35">
      <c r="A43" t="s">
        <v>92</v>
      </c>
      <c r="B43" s="4" t="s">
        <v>70</v>
      </c>
      <c r="C43">
        <v>5</v>
      </c>
      <c r="D43" t="s">
        <v>45</v>
      </c>
      <c r="E43" s="7">
        <v>-4</v>
      </c>
      <c r="F43">
        <v>-200</v>
      </c>
      <c r="G43">
        <v>3</v>
      </c>
      <c r="I43" t="s">
        <v>46</v>
      </c>
      <c r="J43">
        <v>1</v>
      </c>
      <c r="K43">
        <v>87</v>
      </c>
    </row>
    <row r="44" spans="1:11" x14ac:dyDescent="0.35">
      <c r="A44" t="s">
        <v>93</v>
      </c>
      <c r="B44" s="4" t="s">
        <v>70</v>
      </c>
      <c r="C44">
        <v>7</v>
      </c>
      <c r="D44" t="s">
        <v>45</v>
      </c>
      <c r="E44" s="7">
        <v>-8</v>
      </c>
      <c r="F44">
        <v>-400</v>
      </c>
      <c r="G44">
        <v>3</v>
      </c>
      <c r="I44" t="s">
        <v>46</v>
      </c>
      <c r="J44">
        <v>1</v>
      </c>
      <c r="K44">
        <v>69</v>
      </c>
    </row>
    <row r="45" spans="1:11" x14ac:dyDescent="0.35">
      <c r="A45" t="s">
        <v>94</v>
      </c>
      <c r="B45" s="4" t="s">
        <v>70</v>
      </c>
      <c r="C45">
        <v>8</v>
      </c>
      <c r="D45" t="s">
        <v>45</v>
      </c>
      <c r="E45" s="7">
        <v>-7</v>
      </c>
      <c r="F45">
        <v>-350</v>
      </c>
      <c r="G45">
        <v>3</v>
      </c>
      <c r="I45" t="s">
        <v>46</v>
      </c>
      <c r="J45">
        <v>1</v>
      </c>
      <c r="K45">
        <v>66</v>
      </c>
    </row>
    <row r="46" spans="1:11" x14ac:dyDescent="0.35">
      <c r="A46" t="s">
        <v>95</v>
      </c>
      <c r="B46" s="4" t="s">
        <v>70</v>
      </c>
      <c r="C46">
        <v>9</v>
      </c>
      <c r="D46" t="s">
        <v>45</v>
      </c>
      <c r="E46" s="7">
        <v>-7</v>
      </c>
      <c r="F46">
        <v>-350</v>
      </c>
      <c r="G46">
        <v>3</v>
      </c>
      <c r="I46" t="s">
        <v>46</v>
      </c>
      <c r="J46">
        <v>1</v>
      </c>
      <c r="K46">
        <v>67</v>
      </c>
    </row>
    <row r="47" spans="1:11" x14ac:dyDescent="0.35">
      <c r="A47" t="s">
        <v>96</v>
      </c>
      <c r="B47" s="4" t="s">
        <v>70</v>
      </c>
      <c r="C47">
        <v>10</v>
      </c>
      <c r="D47" t="s">
        <v>45</v>
      </c>
      <c r="E47" s="7">
        <v>-3</v>
      </c>
      <c r="F47">
        <v>-150</v>
      </c>
      <c r="G47">
        <v>3</v>
      </c>
      <c r="I47" t="s">
        <v>46</v>
      </c>
      <c r="J47">
        <v>1</v>
      </c>
      <c r="K47">
        <v>74</v>
      </c>
    </row>
    <row r="48" spans="1:11" x14ac:dyDescent="0.35">
      <c r="A48" t="s">
        <v>97</v>
      </c>
      <c r="B48" s="4" t="s">
        <v>70</v>
      </c>
      <c r="C48">
        <v>12</v>
      </c>
      <c r="D48" t="s">
        <v>45</v>
      </c>
      <c r="E48" s="7">
        <v>-6</v>
      </c>
      <c r="F48">
        <v>-300</v>
      </c>
      <c r="G48">
        <v>3</v>
      </c>
      <c r="I48" t="s">
        <v>46</v>
      </c>
      <c r="J48">
        <v>1</v>
      </c>
      <c r="K48">
        <v>80</v>
      </c>
    </row>
    <row r="49" spans="1:11" x14ac:dyDescent="0.35">
      <c r="A49" t="s">
        <v>98</v>
      </c>
      <c r="B49" s="4" t="s">
        <v>99</v>
      </c>
      <c r="C49">
        <v>1</v>
      </c>
      <c r="D49" t="s">
        <v>45</v>
      </c>
      <c r="E49" s="7">
        <v>-6</v>
      </c>
      <c r="F49">
        <v>-150</v>
      </c>
      <c r="G49">
        <v>1</v>
      </c>
      <c r="I49" t="s">
        <v>46</v>
      </c>
      <c r="J49">
        <v>1</v>
      </c>
      <c r="K49">
        <v>3</v>
      </c>
    </row>
    <row r="50" spans="1:11" x14ac:dyDescent="0.35">
      <c r="A50" t="s">
        <v>100</v>
      </c>
      <c r="B50" s="4" t="s">
        <v>99</v>
      </c>
      <c r="C50">
        <v>4</v>
      </c>
      <c r="D50" t="s">
        <v>45</v>
      </c>
      <c r="E50" s="7">
        <v>-7</v>
      </c>
      <c r="F50">
        <v>-350</v>
      </c>
      <c r="G50">
        <v>1</v>
      </c>
      <c r="I50" t="s">
        <v>46</v>
      </c>
      <c r="J50">
        <v>1</v>
      </c>
      <c r="K50">
        <v>73</v>
      </c>
    </row>
    <row r="51" spans="1:11" x14ac:dyDescent="0.35">
      <c r="A51" t="s">
        <v>101</v>
      </c>
      <c r="B51" s="4" t="s">
        <v>99</v>
      </c>
      <c r="C51">
        <v>6</v>
      </c>
      <c r="D51" t="s">
        <v>45</v>
      </c>
      <c r="E51" s="7">
        <v>-8</v>
      </c>
      <c r="F51">
        <v>-400</v>
      </c>
      <c r="G51">
        <v>1</v>
      </c>
      <c r="I51" t="s">
        <v>46</v>
      </c>
      <c r="J51">
        <v>1</v>
      </c>
      <c r="K51">
        <v>84</v>
      </c>
    </row>
    <row r="52" spans="1:11" x14ac:dyDescent="0.35">
      <c r="A52" t="s">
        <v>102</v>
      </c>
      <c r="B52" s="4" t="s">
        <v>99</v>
      </c>
      <c r="C52">
        <v>7</v>
      </c>
      <c r="D52" t="s">
        <v>45</v>
      </c>
      <c r="E52" s="7">
        <v>-3</v>
      </c>
      <c r="F52">
        <v>-150</v>
      </c>
      <c r="G52">
        <v>1</v>
      </c>
      <c r="I52" t="s">
        <v>46</v>
      </c>
      <c r="J52">
        <v>1</v>
      </c>
      <c r="K52">
        <v>66</v>
      </c>
    </row>
    <row r="53" spans="1:11" x14ac:dyDescent="0.35">
      <c r="A53" t="s">
        <v>103</v>
      </c>
      <c r="B53" s="4" t="s">
        <v>99</v>
      </c>
      <c r="C53">
        <v>8</v>
      </c>
      <c r="D53" t="s">
        <v>45</v>
      </c>
      <c r="E53" s="7">
        <v>-4</v>
      </c>
      <c r="F53">
        <v>-200</v>
      </c>
      <c r="G53">
        <v>1</v>
      </c>
      <c r="I53" t="s">
        <v>46</v>
      </c>
      <c r="J53">
        <v>1</v>
      </c>
      <c r="K53">
        <v>62</v>
      </c>
    </row>
    <row r="54" spans="1:11" x14ac:dyDescent="0.35">
      <c r="A54" t="s">
        <v>104</v>
      </c>
      <c r="B54" s="4" t="s">
        <v>99</v>
      </c>
      <c r="C54">
        <v>11</v>
      </c>
      <c r="D54" t="s">
        <v>45</v>
      </c>
      <c r="E54" s="7">
        <v>-8</v>
      </c>
      <c r="F54">
        <v>-400</v>
      </c>
      <c r="G54">
        <v>1</v>
      </c>
      <c r="I54" t="s">
        <v>46</v>
      </c>
      <c r="J54">
        <v>1</v>
      </c>
      <c r="K54">
        <v>111</v>
      </c>
    </row>
    <row r="55" spans="1:11" x14ac:dyDescent="0.35">
      <c r="A55" t="s">
        <v>105</v>
      </c>
      <c r="B55" s="4" t="s">
        <v>99</v>
      </c>
      <c r="C55">
        <v>4</v>
      </c>
      <c r="D55" t="s">
        <v>45</v>
      </c>
      <c r="E55" s="7">
        <v>-6</v>
      </c>
      <c r="F55">
        <v>-300</v>
      </c>
      <c r="G55">
        <v>2</v>
      </c>
      <c r="I55" t="s">
        <v>46</v>
      </c>
      <c r="J55">
        <v>1</v>
      </c>
      <c r="K55">
        <v>67</v>
      </c>
    </row>
    <row r="56" spans="1:11" x14ac:dyDescent="0.35">
      <c r="A56" t="s">
        <v>106</v>
      </c>
      <c r="B56" s="4" t="s">
        <v>99</v>
      </c>
      <c r="C56">
        <v>5</v>
      </c>
      <c r="D56" t="s">
        <v>45</v>
      </c>
      <c r="E56" s="7">
        <v>-4</v>
      </c>
      <c r="F56">
        <v>-200</v>
      </c>
      <c r="G56">
        <v>2</v>
      </c>
      <c r="I56" t="s">
        <v>46</v>
      </c>
      <c r="J56">
        <v>1</v>
      </c>
      <c r="K56">
        <v>83</v>
      </c>
    </row>
    <row r="57" spans="1:11" x14ac:dyDescent="0.35">
      <c r="A57" t="s">
        <v>107</v>
      </c>
      <c r="B57" s="4" t="s">
        <v>99</v>
      </c>
      <c r="C57">
        <v>6</v>
      </c>
      <c r="D57" t="s">
        <v>45</v>
      </c>
      <c r="E57" s="7">
        <v>-4</v>
      </c>
      <c r="F57">
        <v>-200</v>
      </c>
      <c r="G57">
        <v>2</v>
      </c>
      <c r="I57" t="s">
        <v>46</v>
      </c>
      <c r="J57">
        <v>1</v>
      </c>
      <c r="K57">
        <v>80</v>
      </c>
    </row>
    <row r="58" spans="1:11" x14ac:dyDescent="0.35">
      <c r="A58" t="s">
        <v>108</v>
      </c>
      <c r="B58" s="4" t="s">
        <v>99</v>
      </c>
      <c r="C58">
        <v>8</v>
      </c>
      <c r="D58" t="s">
        <v>45</v>
      </c>
      <c r="E58" s="7">
        <v>-3</v>
      </c>
      <c r="F58">
        <v>-150</v>
      </c>
      <c r="G58">
        <v>2</v>
      </c>
      <c r="I58" t="s">
        <v>46</v>
      </c>
      <c r="J58">
        <v>1</v>
      </c>
      <c r="K58">
        <v>59</v>
      </c>
    </row>
    <row r="59" spans="1:11" x14ac:dyDescent="0.35">
      <c r="A59" t="s">
        <v>109</v>
      </c>
      <c r="B59" s="4" t="s">
        <v>99</v>
      </c>
      <c r="C59">
        <v>9</v>
      </c>
      <c r="D59" t="s">
        <v>45</v>
      </c>
      <c r="E59" s="7">
        <v>-5</v>
      </c>
      <c r="F59">
        <v>-250</v>
      </c>
      <c r="G59">
        <v>2</v>
      </c>
      <c r="I59" t="s">
        <v>46</v>
      </c>
      <c r="J59">
        <v>1</v>
      </c>
      <c r="K59">
        <v>62</v>
      </c>
    </row>
    <row r="60" spans="1:11" x14ac:dyDescent="0.35">
      <c r="A60" t="s">
        <v>110</v>
      </c>
      <c r="B60" s="4" t="s">
        <v>99</v>
      </c>
      <c r="C60">
        <v>12</v>
      </c>
      <c r="D60" t="s">
        <v>45</v>
      </c>
      <c r="E60" s="7">
        <v>-4</v>
      </c>
      <c r="F60">
        <v>-200</v>
      </c>
      <c r="G60">
        <v>2</v>
      </c>
      <c r="I60" t="s">
        <v>46</v>
      </c>
      <c r="J60">
        <v>1</v>
      </c>
      <c r="K60">
        <v>76</v>
      </c>
    </row>
    <row r="61" spans="1:11" x14ac:dyDescent="0.35">
      <c r="A61" t="s">
        <v>111</v>
      </c>
      <c r="B61" s="4" t="s">
        <v>99</v>
      </c>
      <c r="C61">
        <v>5</v>
      </c>
      <c r="D61" t="s">
        <v>45</v>
      </c>
      <c r="E61" s="7">
        <v>-8</v>
      </c>
      <c r="F61">
        <v>-400</v>
      </c>
      <c r="G61">
        <v>3</v>
      </c>
      <c r="I61" t="s">
        <v>46</v>
      </c>
      <c r="J61">
        <v>1</v>
      </c>
      <c r="K61">
        <v>75</v>
      </c>
    </row>
    <row r="62" spans="1:11" x14ac:dyDescent="0.35">
      <c r="A62" t="s">
        <v>112</v>
      </c>
      <c r="B62" s="4" t="s">
        <v>99</v>
      </c>
      <c r="C62">
        <v>6</v>
      </c>
      <c r="D62" t="s">
        <v>45</v>
      </c>
      <c r="E62" s="7">
        <v>-8</v>
      </c>
      <c r="F62">
        <v>-400</v>
      </c>
      <c r="G62">
        <v>3</v>
      </c>
      <c r="I62" t="s">
        <v>46</v>
      </c>
      <c r="J62">
        <v>1</v>
      </c>
      <c r="K62">
        <v>72</v>
      </c>
    </row>
    <row r="63" spans="1:11" x14ac:dyDescent="0.35">
      <c r="A63" t="s">
        <v>113</v>
      </c>
      <c r="B63" s="4" t="s">
        <v>99</v>
      </c>
      <c r="C63">
        <v>7</v>
      </c>
      <c r="D63" t="s">
        <v>45</v>
      </c>
      <c r="E63" s="7">
        <v>-4</v>
      </c>
      <c r="F63">
        <v>-200</v>
      </c>
      <c r="G63">
        <v>3</v>
      </c>
      <c r="I63" t="s">
        <v>46</v>
      </c>
      <c r="J63">
        <v>1</v>
      </c>
      <c r="K63">
        <v>62</v>
      </c>
    </row>
    <row r="64" spans="1:11" x14ac:dyDescent="0.35">
      <c r="A64" t="s">
        <v>114</v>
      </c>
      <c r="B64" s="4" t="s">
        <v>99</v>
      </c>
      <c r="C64">
        <v>9</v>
      </c>
      <c r="D64" t="s">
        <v>45</v>
      </c>
      <c r="E64" s="7">
        <v>-4</v>
      </c>
      <c r="F64">
        <v>-200</v>
      </c>
      <c r="G64">
        <v>3</v>
      </c>
      <c r="I64" t="s">
        <v>46</v>
      </c>
      <c r="J64">
        <v>1</v>
      </c>
      <c r="K64">
        <v>58</v>
      </c>
    </row>
    <row r="65" spans="1:11" x14ac:dyDescent="0.35">
      <c r="A65" t="s">
        <v>115</v>
      </c>
      <c r="B65" s="4" t="s">
        <v>99</v>
      </c>
      <c r="C65">
        <v>10</v>
      </c>
      <c r="D65" t="s">
        <v>45</v>
      </c>
      <c r="E65" s="7">
        <v>-8</v>
      </c>
      <c r="F65">
        <v>-400</v>
      </c>
      <c r="G65">
        <v>3</v>
      </c>
      <c r="I65" t="s">
        <v>46</v>
      </c>
      <c r="J65">
        <v>1</v>
      </c>
      <c r="K65">
        <v>66</v>
      </c>
    </row>
    <row r="66" spans="1:11" x14ac:dyDescent="0.35">
      <c r="A66" t="s">
        <v>116</v>
      </c>
      <c r="B66" s="4" t="s">
        <v>117</v>
      </c>
      <c r="C66">
        <v>26</v>
      </c>
      <c r="D66" t="s">
        <v>71</v>
      </c>
      <c r="E66" s="7">
        <v>34</v>
      </c>
      <c r="F66">
        <v>1700</v>
      </c>
      <c r="G66">
        <v>4</v>
      </c>
      <c r="H66">
        <v>4</v>
      </c>
      <c r="I66" t="s">
        <v>72</v>
      </c>
      <c r="J66">
        <v>1</v>
      </c>
      <c r="K66">
        <v>134</v>
      </c>
    </row>
    <row r="67" spans="1:11" x14ac:dyDescent="0.35">
      <c r="A67" t="s">
        <v>118</v>
      </c>
      <c r="B67" s="4" t="s">
        <v>117</v>
      </c>
      <c r="C67">
        <v>24</v>
      </c>
      <c r="D67" t="s">
        <v>71</v>
      </c>
      <c r="E67" s="7">
        <v>23</v>
      </c>
      <c r="F67">
        <v>1150</v>
      </c>
      <c r="G67">
        <v>4</v>
      </c>
      <c r="H67">
        <v>3</v>
      </c>
      <c r="I67" t="s">
        <v>72</v>
      </c>
      <c r="J67">
        <v>1</v>
      </c>
      <c r="K67">
        <v>164</v>
      </c>
    </row>
    <row r="68" spans="1:11" x14ac:dyDescent="0.35">
      <c r="A68" t="s">
        <v>119</v>
      </c>
      <c r="B68" s="4" t="s">
        <v>117</v>
      </c>
      <c r="C68">
        <v>29</v>
      </c>
      <c r="D68" t="s">
        <v>71</v>
      </c>
      <c r="E68" s="7">
        <v>27</v>
      </c>
      <c r="F68">
        <v>1350</v>
      </c>
      <c r="G68">
        <v>4</v>
      </c>
      <c r="H68">
        <v>4</v>
      </c>
      <c r="I68" t="s">
        <v>72</v>
      </c>
      <c r="J68">
        <v>1</v>
      </c>
      <c r="K68">
        <v>127</v>
      </c>
    </row>
    <row r="69" spans="1:11" x14ac:dyDescent="0.35">
      <c r="A69" t="s">
        <v>120</v>
      </c>
      <c r="B69" s="4" t="s">
        <v>117</v>
      </c>
      <c r="C69">
        <v>34</v>
      </c>
      <c r="D69" t="s">
        <v>71</v>
      </c>
      <c r="E69" s="7">
        <v>27</v>
      </c>
      <c r="F69">
        <v>1350</v>
      </c>
      <c r="G69">
        <v>4</v>
      </c>
      <c r="H69">
        <v>4</v>
      </c>
      <c r="I69" t="s">
        <v>72</v>
      </c>
      <c r="J69">
        <v>1</v>
      </c>
      <c r="K69">
        <v>127</v>
      </c>
    </row>
    <row r="70" spans="1:11" x14ac:dyDescent="0.35">
      <c r="A70" t="s">
        <v>121</v>
      </c>
      <c r="B70" s="4" t="s">
        <v>117</v>
      </c>
      <c r="C70">
        <v>4</v>
      </c>
      <c r="D70" t="s">
        <v>45</v>
      </c>
      <c r="E70" s="7">
        <v>-3</v>
      </c>
      <c r="F70">
        <v>-150</v>
      </c>
      <c r="G70">
        <v>1</v>
      </c>
      <c r="I70" t="s">
        <v>46</v>
      </c>
      <c r="J70">
        <v>1</v>
      </c>
      <c r="K70">
        <v>64</v>
      </c>
    </row>
    <row r="71" spans="1:11" x14ac:dyDescent="0.35">
      <c r="A71" t="s">
        <v>122</v>
      </c>
      <c r="B71" s="4" t="s">
        <v>117</v>
      </c>
      <c r="C71">
        <v>5</v>
      </c>
      <c r="D71" t="s">
        <v>45</v>
      </c>
      <c r="E71" s="7">
        <v>-4</v>
      </c>
      <c r="F71">
        <v>-200</v>
      </c>
      <c r="G71">
        <v>1</v>
      </c>
      <c r="I71" t="s">
        <v>46</v>
      </c>
      <c r="J71">
        <v>1</v>
      </c>
      <c r="K71">
        <v>71</v>
      </c>
    </row>
    <row r="72" spans="1:11" x14ac:dyDescent="0.35">
      <c r="A72" t="s">
        <v>123</v>
      </c>
      <c r="B72" s="4" t="s">
        <v>117</v>
      </c>
      <c r="C72">
        <v>6</v>
      </c>
      <c r="D72" t="s">
        <v>45</v>
      </c>
      <c r="E72" s="7">
        <v>-3</v>
      </c>
      <c r="F72">
        <v>-150</v>
      </c>
      <c r="G72">
        <v>1</v>
      </c>
      <c r="I72" t="s">
        <v>46</v>
      </c>
      <c r="J72">
        <v>1</v>
      </c>
      <c r="K72">
        <v>69</v>
      </c>
    </row>
    <row r="73" spans="1:11" x14ac:dyDescent="0.35">
      <c r="A73" t="s">
        <v>124</v>
      </c>
      <c r="B73" s="4" t="s">
        <v>117</v>
      </c>
      <c r="C73">
        <v>7</v>
      </c>
      <c r="D73" t="s">
        <v>45</v>
      </c>
      <c r="E73" s="7">
        <v>-7</v>
      </c>
      <c r="F73">
        <v>-350</v>
      </c>
      <c r="G73">
        <v>1</v>
      </c>
      <c r="I73" t="s">
        <v>46</v>
      </c>
      <c r="J73">
        <v>1</v>
      </c>
      <c r="K73">
        <v>55</v>
      </c>
    </row>
    <row r="74" spans="1:11" x14ac:dyDescent="0.35">
      <c r="A74" t="s">
        <v>125</v>
      </c>
      <c r="B74" s="4" t="s">
        <v>117</v>
      </c>
      <c r="C74">
        <v>9</v>
      </c>
      <c r="D74" t="s">
        <v>45</v>
      </c>
      <c r="E74" s="7">
        <v>-8</v>
      </c>
      <c r="F74">
        <v>-400</v>
      </c>
      <c r="G74">
        <v>1</v>
      </c>
      <c r="I74" t="s">
        <v>46</v>
      </c>
      <c r="J74">
        <v>1</v>
      </c>
      <c r="K74">
        <v>50</v>
      </c>
    </row>
    <row r="75" spans="1:11" x14ac:dyDescent="0.35">
      <c r="A75" t="s">
        <v>126</v>
      </c>
      <c r="B75" s="4" t="s">
        <v>117</v>
      </c>
      <c r="C75">
        <v>10</v>
      </c>
      <c r="D75" t="s">
        <v>45</v>
      </c>
      <c r="E75" s="7">
        <v>-6</v>
      </c>
      <c r="F75">
        <v>-300</v>
      </c>
      <c r="G75">
        <v>1</v>
      </c>
      <c r="I75" t="s">
        <v>46</v>
      </c>
      <c r="J75">
        <v>1</v>
      </c>
      <c r="K75">
        <v>60</v>
      </c>
    </row>
    <row r="76" spans="1:11" x14ac:dyDescent="0.35">
      <c r="A76" t="s">
        <v>127</v>
      </c>
      <c r="B76" s="4" t="s">
        <v>117</v>
      </c>
      <c r="C76">
        <v>11</v>
      </c>
      <c r="D76" t="s">
        <v>45</v>
      </c>
      <c r="E76" s="7">
        <v>-7</v>
      </c>
      <c r="F76">
        <v>-350</v>
      </c>
      <c r="G76">
        <v>1</v>
      </c>
      <c r="I76" t="s">
        <v>46</v>
      </c>
      <c r="J76">
        <v>1</v>
      </c>
      <c r="K76">
        <v>104</v>
      </c>
    </row>
    <row r="77" spans="1:11" x14ac:dyDescent="0.35">
      <c r="A77" t="s">
        <v>128</v>
      </c>
      <c r="B77" s="4" t="s">
        <v>117</v>
      </c>
      <c r="C77">
        <v>12</v>
      </c>
      <c r="D77" t="s">
        <v>45</v>
      </c>
      <c r="E77" s="7">
        <v>-6</v>
      </c>
      <c r="F77">
        <v>-300</v>
      </c>
      <c r="G77">
        <v>1</v>
      </c>
      <c r="I77" t="s">
        <v>46</v>
      </c>
      <c r="J77">
        <v>1</v>
      </c>
      <c r="K77">
        <v>70</v>
      </c>
    </row>
    <row r="78" spans="1:11" x14ac:dyDescent="0.35">
      <c r="A78" t="s">
        <v>129</v>
      </c>
      <c r="B78" s="4" t="s">
        <v>117</v>
      </c>
      <c r="C78">
        <v>4</v>
      </c>
      <c r="D78" t="s">
        <v>45</v>
      </c>
      <c r="E78" s="7">
        <v>-5</v>
      </c>
      <c r="F78">
        <v>-250</v>
      </c>
      <c r="G78">
        <v>2</v>
      </c>
      <c r="I78" t="s">
        <v>46</v>
      </c>
      <c r="J78">
        <v>1</v>
      </c>
      <c r="K78">
        <v>59</v>
      </c>
    </row>
    <row r="79" spans="1:11" x14ac:dyDescent="0.35">
      <c r="A79" t="s">
        <v>130</v>
      </c>
      <c r="B79" s="4" t="s">
        <v>117</v>
      </c>
      <c r="C79">
        <v>6</v>
      </c>
      <c r="D79" t="s">
        <v>45</v>
      </c>
      <c r="E79" s="7">
        <v>-4</v>
      </c>
      <c r="F79">
        <v>-200</v>
      </c>
      <c r="G79">
        <v>2</v>
      </c>
      <c r="I79" t="s">
        <v>46</v>
      </c>
      <c r="J79">
        <v>1</v>
      </c>
      <c r="K79">
        <v>65</v>
      </c>
    </row>
    <row r="80" spans="1:11" x14ac:dyDescent="0.35">
      <c r="A80" t="s">
        <v>131</v>
      </c>
      <c r="B80" s="4" t="s">
        <v>117</v>
      </c>
      <c r="C80">
        <v>7</v>
      </c>
      <c r="D80" t="s">
        <v>45</v>
      </c>
      <c r="E80" s="7">
        <v>-7</v>
      </c>
      <c r="F80">
        <v>-350</v>
      </c>
      <c r="G80">
        <v>2</v>
      </c>
      <c r="I80" t="s">
        <v>46</v>
      </c>
      <c r="J80">
        <v>1</v>
      </c>
      <c r="K80">
        <v>48</v>
      </c>
    </row>
    <row r="81" spans="1:11" x14ac:dyDescent="0.35">
      <c r="A81" t="s">
        <v>132</v>
      </c>
      <c r="B81" s="4" t="s">
        <v>117</v>
      </c>
      <c r="C81">
        <v>8</v>
      </c>
      <c r="D81" t="s">
        <v>45</v>
      </c>
      <c r="E81" s="7">
        <v>-5</v>
      </c>
      <c r="F81">
        <v>-250</v>
      </c>
      <c r="G81">
        <v>2</v>
      </c>
      <c r="I81" t="s">
        <v>46</v>
      </c>
      <c r="J81">
        <v>1</v>
      </c>
      <c r="K81">
        <v>54</v>
      </c>
    </row>
    <row r="82" spans="1:11" x14ac:dyDescent="0.35">
      <c r="A82" t="s">
        <v>133</v>
      </c>
      <c r="B82" s="4" t="s">
        <v>117</v>
      </c>
      <c r="C82">
        <v>10</v>
      </c>
      <c r="D82" t="s">
        <v>45</v>
      </c>
      <c r="E82" s="7">
        <v>-7</v>
      </c>
      <c r="F82">
        <v>-350</v>
      </c>
      <c r="G82">
        <v>2</v>
      </c>
      <c r="I82" t="s">
        <v>46</v>
      </c>
      <c r="J82">
        <v>1</v>
      </c>
      <c r="K82">
        <v>53</v>
      </c>
    </row>
    <row r="83" spans="1:11" x14ac:dyDescent="0.35">
      <c r="A83" t="s">
        <v>134</v>
      </c>
      <c r="B83" s="4" t="s">
        <v>117</v>
      </c>
      <c r="C83">
        <v>11</v>
      </c>
      <c r="D83" t="s">
        <v>45</v>
      </c>
      <c r="E83" s="7">
        <v>-7</v>
      </c>
      <c r="F83">
        <v>-350</v>
      </c>
      <c r="G83">
        <v>2</v>
      </c>
      <c r="I83" t="s">
        <v>46</v>
      </c>
      <c r="J83">
        <v>1</v>
      </c>
      <c r="K83">
        <v>97</v>
      </c>
    </row>
    <row r="84" spans="1:11" x14ac:dyDescent="0.35">
      <c r="A84" t="s">
        <v>135</v>
      </c>
      <c r="B84" s="4" t="s">
        <v>117</v>
      </c>
      <c r="C84">
        <v>4</v>
      </c>
      <c r="D84" t="s">
        <v>45</v>
      </c>
      <c r="E84" s="7">
        <v>-4</v>
      </c>
      <c r="F84">
        <v>-200</v>
      </c>
      <c r="G84">
        <v>3</v>
      </c>
      <c r="I84" t="s">
        <v>46</v>
      </c>
      <c r="J84">
        <v>1</v>
      </c>
      <c r="K84">
        <v>55</v>
      </c>
    </row>
    <row r="85" spans="1:11" x14ac:dyDescent="0.35">
      <c r="A85" t="s">
        <v>136</v>
      </c>
      <c r="B85" s="4" t="s">
        <v>117</v>
      </c>
      <c r="C85">
        <v>5</v>
      </c>
      <c r="D85" t="s">
        <v>45</v>
      </c>
      <c r="E85" s="7">
        <v>-5</v>
      </c>
      <c r="F85">
        <v>-250</v>
      </c>
      <c r="G85">
        <v>3</v>
      </c>
      <c r="I85" t="s">
        <v>46</v>
      </c>
      <c r="J85">
        <v>1</v>
      </c>
      <c r="K85">
        <v>66</v>
      </c>
    </row>
    <row r="86" spans="1:11" x14ac:dyDescent="0.35">
      <c r="A86" t="s">
        <v>137</v>
      </c>
      <c r="B86" s="4" t="s">
        <v>117</v>
      </c>
      <c r="C86">
        <v>6</v>
      </c>
      <c r="D86" t="s">
        <v>45</v>
      </c>
      <c r="E86" s="7">
        <v>-4</v>
      </c>
      <c r="F86">
        <v>-200</v>
      </c>
      <c r="G86">
        <v>3</v>
      </c>
      <c r="I86" t="s">
        <v>46</v>
      </c>
      <c r="J86">
        <v>1</v>
      </c>
      <c r="K86">
        <v>61</v>
      </c>
    </row>
    <row r="87" spans="1:11" x14ac:dyDescent="0.35">
      <c r="A87" t="s">
        <v>138</v>
      </c>
      <c r="B87" s="4" t="s">
        <v>117</v>
      </c>
      <c r="C87">
        <v>8</v>
      </c>
      <c r="D87" t="s">
        <v>45</v>
      </c>
      <c r="E87" s="7">
        <v>-3</v>
      </c>
      <c r="F87">
        <v>-150</v>
      </c>
      <c r="G87">
        <v>3</v>
      </c>
      <c r="I87" t="s">
        <v>46</v>
      </c>
      <c r="J87">
        <v>1</v>
      </c>
      <c r="K87">
        <v>51</v>
      </c>
    </row>
    <row r="88" spans="1:11" x14ac:dyDescent="0.35">
      <c r="A88" t="s">
        <v>139</v>
      </c>
      <c r="B88" s="4" t="s">
        <v>117</v>
      </c>
      <c r="C88">
        <v>10</v>
      </c>
      <c r="D88" t="s">
        <v>45</v>
      </c>
      <c r="E88" s="7">
        <v>-3</v>
      </c>
      <c r="F88">
        <v>-150</v>
      </c>
      <c r="G88">
        <v>3</v>
      </c>
      <c r="I88" t="s">
        <v>46</v>
      </c>
      <c r="J88">
        <v>1</v>
      </c>
      <c r="K88">
        <v>50</v>
      </c>
    </row>
    <row r="89" spans="1:11" x14ac:dyDescent="0.35">
      <c r="A89" t="s">
        <v>140</v>
      </c>
      <c r="B89" s="4" t="s">
        <v>141</v>
      </c>
      <c r="C89">
        <v>4</v>
      </c>
      <c r="D89" t="s">
        <v>45</v>
      </c>
      <c r="E89" s="7">
        <v>-5</v>
      </c>
      <c r="F89">
        <v>-250</v>
      </c>
      <c r="G89">
        <v>1</v>
      </c>
      <c r="I89" t="s">
        <v>46</v>
      </c>
      <c r="J89">
        <v>1</v>
      </c>
      <c r="K89">
        <v>50</v>
      </c>
    </row>
    <row r="90" spans="1:11" x14ac:dyDescent="0.35">
      <c r="A90" t="s">
        <v>142</v>
      </c>
      <c r="B90" s="4" t="s">
        <v>141</v>
      </c>
      <c r="C90">
        <v>5</v>
      </c>
      <c r="D90" t="s">
        <v>45</v>
      </c>
      <c r="E90" s="7">
        <v>-8</v>
      </c>
      <c r="F90">
        <v>-400</v>
      </c>
      <c r="G90">
        <v>1</v>
      </c>
      <c r="I90" t="s">
        <v>46</v>
      </c>
      <c r="J90">
        <v>1</v>
      </c>
      <c r="K90">
        <v>58</v>
      </c>
    </row>
    <row r="91" spans="1:11" x14ac:dyDescent="0.35">
      <c r="A91" t="s">
        <v>143</v>
      </c>
      <c r="B91" s="4" t="s">
        <v>141</v>
      </c>
      <c r="C91">
        <v>6</v>
      </c>
      <c r="D91" t="s">
        <v>45</v>
      </c>
      <c r="E91" s="7">
        <v>-3</v>
      </c>
      <c r="F91">
        <v>-150</v>
      </c>
      <c r="G91">
        <v>1</v>
      </c>
      <c r="I91" t="s">
        <v>46</v>
      </c>
      <c r="J91">
        <v>1</v>
      </c>
      <c r="K91">
        <v>58</v>
      </c>
    </row>
    <row r="92" spans="1:11" x14ac:dyDescent="0.35">
      <c r="A92" t="s">
        <v>144</v>
      </c>
      <c r="B92" s="4" t="s">
        <v>141</v>
      </c>
      <c r="C92">
        <v>9</v>
      </c>
      <c r="D92" t="s">
        <v>45</v>
      </c>
      <c r="E92" s="7">
        <v>-8</v>
      </c>
      <c r="F92">
        <v>-400</v>
      </c>
      <c r="G92">
        <v>1</v>
      </c>
      <c r="I92" t="s">
        <v>46</v>
      </c>
      <c r="J92">
        <v>1</v>
      </c>
      <c r="K92">
        <v>42</v>
      </c>
    </row>
    <row r="93" spans="1:11" x14ac:dyDescent="0.35">
      <c r="A93" t="s">
        <v>145</v>
      </c>
      <c r="B93" s="4" t="s">
        <v>141</v>
      </c>
      <c r="C93">
        <v>10</v>
      </c>
      <c r="D93" t="s">
        <v>45</v>
      </c>
      <c r="E93" s="7">
        <v>-5</v>
      </c>
      <c r="F93">
        <v>-250</v>
      </c>
      <c r="G93">
        <v>1</v>
      </c>
      <c r="I93" t="s">
        <v>46</v>
      </c>
      <c r="J93">
        <v>1</v>
      </c>
      <c r="K93">
        <v>45</v>
      </c>
    </row>
    <row r="94" spans="1:11" x14ac:dyDescent="0.35">
      <c r="A94" t="s">
        <v>146</v>
      </c>
      <c r="B94" s="4" t="s">
        <v>141</v>
      </c>
      <c r="C94">
        <v>12</v>
      </c>
      <c r="D94" t="s">
        <v>45</v>
      </c>
      <c r="E94" s="7">
        <v>-6</v>
      </c>
      <c r="F94">
        <v>-300</v>
      </c>
      <c r="G94">
        <v>1</v>
      </c>
      <c r="I94" t="s">
        <v>46</v>
      </c>
      <c r="J94">
        <v>1</v>
      </c>
      <c r="K94">
        <v>64</v>
      </c>
    </row>
    <row r="95" spans="1:11" x14ac:dyDescent="0.35">
      <c r="A95" t="s">
        <v>147</v>
      </c>
      <c r="B95" s="4" t="s">
        <v>141</v>
      </c>
      <c r="C95">
        <v>4</v>
      </c>
      <c r="D95" t="s">
        <v>45</v>
      </c>
      <c r="E95" s="7">
        <v>-4</v>
      </c>
      <c r="F95">
        <v>-200</v>
      </c>
      <c r="G95">
        <v>2</v>
      </c>
      <c r="I95" t="s">
        <v>46</v>
      </c>
      <c r="J95">
        <v>1</v>
      </c>
      <c r="K95">
        <v>46</v>
      </c>
    </row>
    <row r="96" spans="1:11" x14ac:dyDescent="0.35">
      <c r="A96" t="s">
        <v>148</v>
      </c>
      <c r="B96" s="4" t="s">
        <v>141</v>
      </c>
      <c r="C96">
        <v>5</v>
      </c>
      <c r="D96" t="s">
        <v>45</v>
      </c>
      <c r="E96" s="7">
        <v>-3</v>
      </c>
      <c r="F96">
        <v>-150</v>
      </c>
      <c r="G96">
        <v>2</v>
      </c>
      <c r="I96" t="s">
        <v>46</v>
      </c>
      <c r="J96">
        <v>1</v>
      </c>
      <c r="K96">
        <v>55</v>
      </c>
    </row>
    <row r="97" spans="1:11" x14ac:dyDescent="0.35">
      <c r="A97" t="s">
        <v>149</v>
      </c>
      <c r="B97" s="4" t="s">
        <v>141</v>
      </c>
      <c r="C97">
        <v>6</v>
      </c>
      <c r="D97" t="s">
        <v>45</v>
      </c>
      <c r="E97" s="7">
        <v>-6</v>
      </c>
      <c r="F97">
        <v>-300</v>
      </c>
      <c r="G97">
        <v>2</v>
      </c>
      <c r="I97" t="s">
        <v>46</v>
      </c>
      <c r="J97">
        <v>1</v>
      </c>
      <c r="K97">
        <v>52</v>
      </c>
    </row>
    <row r="98" spans="1:11" x14ac:dyDescent="0.35">
      <c r="A98" t="s">
        <v>150</v>
      </c>
      <c r="B98" s="4" t="s">
        <v>141</v>
      </c>
      <c r="C98">
        <v>7</v>
      </c>
      <c r="D98" t="s">
        <v>45</v>
      </c>
      <c r="E98" s="7">
        <v>-4</v>
      </c>
      <c r="F98">
        <v>-200</v>
      </c>
      <c r="G98">
        <v>2</v>
      </c>
      <c r="I98" t="s">
        <v>46</v>
      </c>
      <c r="J98">
        <v>1</v>
      </c>
      <c r="K98">
        <v>44</v>
      </c>
    </row>
    <row r="99" spans="1:11" x14ac:dyDescent="0.35">
      <c r="A99" t="s">
        <v>151</v>
      </c>
      <c r="B99" s="4" t="s">
        <v>141</v>
      </c>
      <c r="C99">
        <v>8</v>
      </c>
      <c r="D99" t="s">
        <v>45</v>
      </c>
      <c r="E99" s="7">
        <v>-6</v>
      </c>
      <c r="F99">
        <v>-300</v>
      </c>
      <c r="G99">
        <v>2</v>
      </c>
      <c r="I99" t="s">
        <v>46</v>
      </c>
      <c r="J99">
        <v>1</v>
      </c>
      <c r="K99">
        <v>45</v>
      </c>
    </row>
    <row r="100" spans="1:11" x14ac:dyDescent="0.35">
      <c r="A100" t="s">
        <v>152</v>
      </c>
      <c r="B100" s="4" t="s">
        <v>141</v>
      </c>
      <c r="C100">
        <v>9</v>
      </c>
      <c r="D100" t="s">
        <v>45</v>
      </c>
      <c r="E100" s="7">
        <v>-8</v>
      </c>
      <c r="F100">
        <v>-400</v>
      </c>
      <c r="G100">
        <v>2</v>
      </c>
      <c r="I100" t="s">
        <v>46</v>
      </c>
      <c r="J100">
        <v>1</v>
      </c>
      <c r="K100">
        <v>34</v>
      </c>
    </row>
    <row r="101" spans="1:11" x14ac:dyDescent="0.35">
      <c r="A101" t="s">
        <v>153</v>
      </c>
      <c r="B101" s="4" t="s">
        <v>141</v>
      </c>
      <c r="C101">
        <v>12</v>
      </c>
      <c r="D101" t="s">
        <v>45</v>
      </c>
      <c r="E101" s="7">
        <v>-3</v>
      </c>
      <c r="F101">
        <v>-150</v>
      </c>
      <c r="G101">
        <v>2</v>
      </c>
      <c r="I101" t="s">
        <v>46</v>
      </c>
      <c r="J101">
        <v>1</v>
      </c>
      <c r="K101">
        <v>61</v>
      </c>
    </row>
    <row r="102" spans="1:11" x14ac:dyDescent="0.35">
      <c r="A102" t="s">
        <v>154</v>
      </c>
      <c r="B102" s="4" t="s">
        <v>141</v>
      </c>
      <c r="C102">
        <v>4</v>
      </c>
      <c r="D102" t="s">
        <v>45</v>
      </c>
      <c r="E102" s="7">
        <v>-5</v>
      </c>
      <c r="F102">
        <v>-250</v>
      </c>
      <c r="G102">
        <v>3</v>
      </c>
      <c r="I102" t="s">
        <v>46</v>
      </c>
      <c r="J102">
        <v>1</v>
      </c>
      <c r="K102">
        <v>41</v>
      </c>
    </row>
    <row r="103" spans="1:11" x14ac:dyDescent="0.35">
      <c r="A103" t="s">
        <v>155</v>
      </c>
      <c r="B103" s="4" t="s">
        <v>141</v>
      </c>
      <c r="C103">
        <v>5</v>
      </c>
      <c r="D103" t="s">
        <v>45</v>
      </c>
      <c r="E103" s="7">
        <v>-6</v>
      </c>
      <c r="F103">
        <v>-300</v>
      </c>
      <c r="G103">
        <v>3</v>
      </c>
      <c r="I103" t="s">
        <v>46</v>
      </c>
      <c r="J103">
        <v>1</v>
      </c>
      <c r="K103">
        <v>49</v>
      </c>
    </row>
    <row r="104" spans="1:11" x14ac:dyDescent="0.35">
      <c r="A104" t="s">
        <v>156</v>
      </c>
      <c r="B104" s="4" t="s">
        <v>141</v>
      </c>
      <c r="C104">
        <v>6</v>
      </c>
      <c r="D104" t="s">
        <v>45</v>
      </c>
      <c r="E104" s="7">
        <v>-6</v>
      </c>
      <c r="F104">
        <v>-300</v>
      </c>
      <c r="G104">
        <v>3</v>
      </c>
      <c r="I104" t="s">
        <v>46</v>
      </c>
      <c r="J104">
        <v>1</v>
      </c>
      <c r="K104">
        <v>46</v>
      </c>
    </row>
    <row r="105" spans="1:11" x14ac:dyDescent="0.35">
      <c r="A105" t="s">
        <v>157</v>
      </c>
      <c r="B105" s="4" t="s">
        <v>141</v>
      </c>
      <c r="C105">
        <v>7</v>
      </c>
      <c r="D105" t="s">
        <v>45</v>
      </c>
      <c r="E105" s="7">
        <v>-3</v>
      </c>
      <c r="F105">
        <v>-150</v>
      </c>
      <c r="G105">
        <v>3</v>
      </c>
      <c r="I105" t="s">
        <v>46</v>
      </c>
      <c r="J105">
        <v>1</v>
      </c>
      <c r="K105">
        <v>41</v>
      </c>
    </row>
    <row r="106" spans="1:11" x14ac:dyDescent="0.35">
      <c r="A106" t="s">
        <v>158</v>
      </c>
      <c r="B106" s="4" t="s">
        <v>141</v>
      </c>
      <c r="C106">
        <v>8</v>
      </c>
      <c r="D106" t="s">
        <v>45</v>
      </c>
      <c r="E106" s="7">
        <v>-6</v>
      </c>
      <c r="F106">
        <v>-300</v>
      </c>
      <c r="G106">
        <v>3</v>
      </c>
      <c r="I106" t="s">
        <v>46</v>
      </c>
      <c r="J106">
        <v>1</v>
      </c>
      <c r="K106">
        <v>39</v>
      </c>
    </row>
    <row r="107" spans="1:11" x14ac:dyDescent="0.35">
      <c r="A107" t="s">
        <v>159</v>
      </c>
      <c r="B107" s="4" t="s">
        <v>141</v>
      </c>
      <c r="C107">
        <v>10</v>
      </c>
      <c r="D107" t="s">
        <v>45</v>
      </c>
      <c r="E107" s="7">
        <v>-4</v>
      </c>
      <c r="F107">
        <v>-200</v>
      </c>
      <c r="G107">
        <v>3</v>
      </c>
      <c r="I107" t="s">
        <v>46</v>
      </c>
      <c r="J107">
        <v>1</v>
      </c>
      <c r="K107">
        <v>41</v>
      </c>
    </row>
    <row r="108" spans="1:11" x14ac:dyDescent="0.35">
      <c r="A108" t="s">
        <v>160</v>
      </c>
      <c r="B108" s="4" t="s">
        <v>141</v>
      </c>
      <c r="C108">
        <v>11</v>
      </c>
      <c r="D108" t="s">
        <v>45</v>
      </c>
      <c r="E108" s="7">
        <v>-4</v>
      </c>
      <c r="F108">
        <v>-200</v>
      </c>
      <c r="G108">
        <v>3</v>
      </c>
      <c r="I108" t="s">
        <v>46</v>
      </c>
      <c r="J108">
        <v>1</v>
      </c>
      <c r="K108">
        <v>93</v>
      </c>
    </row>
    <row r="109" spans="1:11" x14ac:dyDescent="0.35">
      <c r="A109" t="s">
        <v>161</v>
      </c>
      <c r="B109" s="4" t="s">
        <v>141</v>
      </c>
      <c r="C109">
        <v>12</v>
      </c>
      <c r="D109" t="s">
        <v>45</v>
      </c>
      <c r="E109" s="7">
        <v>-5</v>
      </c>
      <c r="F109">
        <v>-250</v>
      </c>
      <c r="G109">
        <v>3</v>
      </c>
      <c r="I109" t="s">
        <v>46</v>
      </c>
      <c r="J109">
        <v>1</v>
      </c>
      <c r="K109">
        <v>56</v>
      </c>
    </row>
    <row r="110" spans="1:11" x14ac:dyDescent="0.35">
      <c r="A110" t="s">
        <v>162</v>
      </c>
      <c r="B110" s="4" t="s">
        <v>163</v>
      </c>
      <c r="C110">
        <v>4</v>
      </c>
      <c r="D110" t="s">
        <v>45</v>
      </c>
      <c r="E110" s="7">
        <v>-5</v>
      </c>
      <c r="F110">
        <v>-250</v>
      </c>
      <c r="G110">
        <v>1</v>
      </c>
      <c r="I110" t="s">
        <v>46</v>
      </c>
      <c r="J110">
        <v>1</v>
      </c>
      <c r="K110">
        <v>36</v>
      </c>
    </row>
    <row r="111" spans="1:11" x14ac:dyDescent="0.35">
      <c r="A111" t="s">
        <v>164</v>
      </c>
      <c r="B111" s="4" t="s">
        <v>163</v>
      </c>
      <c r="C111">
        <v>6</v>
      </c>
      <c r="D111" t="s">
        <v>45</v>
      </c>
      <c r="E111" s="7">
        <v>-3</v>
      </c>
      <c r="F111">
        <v>-150</v>
      </c>
      <c r="G111">
        <v>1</v>
      </c>
      <c r="I111" t="s">
        <v>46</v>
      </c>
      <c r="J111">
        <v>1</v>
      </c>
      <c r="K111">
        <v>43</v>
      </c>
    </row>
    <row r="112" spans="1:11" x14ac:dyDescent="0.35">
      <c r="A112" t="s">
        <v>165</v>
      </c>
      <c r="B112" s="4" t="s">
        <v>163</v>
      </c>
      <c r="C112">
        <v>8</v>
      </c>
      <c r="D112" t="s">
        <v>45</v>
      </c>
      <c r="E112" s="7">
        <v>-3</v>
      </c>
      <c r="F112">
        <v>-150</v>
      </c>
      <c r="G112">
        <v>1</v>
      </c>
      <c r="I112" t="s">
        <v>46</v>
      </c>
      <c r="J112">
        <v>1</v>
      </c>
      <c r="K112">
        <v>36</v>
      </c>
    </row>
    <row r="113" spans="1:11" x14ac:dyDescent="0.35">
      <c r="A113" t="s">
        <v>166</v>
      </c>
      <c r="B113" s="4" t="s">
        <v>163</v>
      </c>
      <c r="C113">
        <v>9</v>
      </c>
      <c r="D113" t="s">
        <v>45</v>
      </c>
      <c r="E113" s="7">
        <v>-6</v>
      </c>
      <c r="F113">
        <v>-300</v>
      </c>
      <c r="G113">
        <v>1</v>
      </c>
      <c r="I113" t="s">
        <v>46</v>
      </c>
      <c r="J113">
        <v>1</v>
      </c>
      <c r="K113">
        <v>28</v>
      </c>
    </row>
    <row r="114" spans="1:11" x14ac:dyDescent="0.35">
      <c r="A114" t="s">
        <v>167</v>
      </c>
      <c r="B114" s="4" t="s">
        <v>163</v>
      </c>
      <c r="C114">
        <v>11</v>
      </c>
      <c r="D114" t="s">
        <v>45</v>
      </c>
      <c r="E114" s="7">
        <v>-4</v>
      </c>
      <c r="F114">
        <v>-200</v>
      </c>
      <c r="G114">
        <v>1</v>
      </c>
      <c r="I114" t="s">
        <v>46</v>
      </c>
      <c r="J114">
        <v>1</v>
      </c>
      <c r="K114">
        <v>89</v>
      </c>
    </row>
    <row r="115" spans="1:11" x14ac:dyDescent="0.35">
      <c r="A115" t="s">
        <v>168</v>
      </c>
      <c r="B115" s="4" t="s">
        <v>163</v>
      </c>
      <c r="C115">
        <v>12</v>
      </c>
      <c r="D115" t="s">
        <v>45</v>
      </c>
      <c r="E115" s="7">
        <v>-4</v>
      </c>
      <c r="F115">
        <v>-200</v>
      </c>
      <c r="G115">
        <v>1</v>
      </c>
      <c r="I115" t="s">
        <v>46</v>
      </c>
      <c r="J115">
        <v>1</v>
      </c>
      <c r="K115">
        <v>52</v>
      </c>
    </row>
    <row r="116" spans="1:11" x14ac:dyDescent="0.35">
      <c r="A116" t="s">
        <v>169</v>
      </c>
      <c r="B116" s="4" t="s">
        <v>163</v>
      </c>
      <c r="C116">
        <v>4</v>
      </c>
      <c r="D116" t="s">
        <v>45</v>
      </c>
      <c r="E116" s="7">
        <v>-4</v>
      </c>
      <c r="F116">
        <v>-200</v>
      </c>
      <c r="G116">
        <v>2</v>
      </c>
      <c r="I116" t="s">
        <v>46</v>
      </c>
      <c r="J116">
        <v>1</v>
      </c>
      <c r="K116">
        <v>32</v>
      </c>
    </row>
    <row r="117" spans="1:11" x14ac:dyDescent="0.35">
      <c r="A117" t="s">
        <v>170</v>
      </c>
      <c r="B117" s="4" t="s">
        <v>163</v>
      </c>
      <c r="C117">
        <v>5</v>
      </c>
      <c r="D117" t="s">
        <v>45</v>
      </c>
      <c r="E117" s="7">
        <v>-8</v>
      </c>
      <c r="F117">
        <v>-400</v>
      </c>
      <c r="G117">
        <v>2</v>
      </c>
      <c r="I117" t="s">
        <v>46</v>
      </c>
      <c r="J117">
        <v>1</v>
      </c>
      <c r="K117">
        <v>41</v>
      </c>
    </row>
    <row r="118" spans="1:11" x14ac:dyDescent="0.35">
      <c r="A118" t="s">
        <v>171</v>
      </c>
      <c r="B118" s="4" t="s">
        <v>163</v>
      </c>
      <c r="C118">
        <v>6</v>
      </c>
      <c r="D118" t="s">
        <v>45</v>
      </c>
      <c r="E118" s="7">
        <v>-3</v>
      </c>
      <c r="F118">
        <v>-150</v>
      </c>
      <c r="G118">
        <v>2</v>
      </c>
      <c r="I118" t="s">
        <v>46</v>
      </c>
      <c r="J118">
        <v>1</v>
      </c>
      <c r="K118">
        <v>40</v>
      </c>
    </row>
    <row r="119" spans="1:11" x14ac:dyDescent="0.35">
      <c r="A119" t="s">
        <v>172</v>
      </c>
      <c r="B119" s="4" t="s">
        <v>163</v>
      </c>
      <c r="C119">
        <v>7</v>
      </c>
      <c r="D119" t="s">
        <v>45</v>
      </c>
      <c r="E119" s="7">
        <v>-6</v>
      </c>
      <c r="F119">
        <v>-300</v>
      </c>
      <c r="G119">
        <v>2</v>
      </c>
      <c r="I119" t="s">
        <v>46</v>
      </c>
      <c r="J119">
        <v>1</v>
      </c>
      <c r="K119">
        <v>35</v>
      </c>
    </row>
    <row r="120" spans="1:11" x14ac:dyDescent="0.35">
      <c r="A120" t="s">
        <v>173</v>
      </c>
      <c r="B120" s="4" t="s">
        <v>163</v>
      </c>
      <c r="C120">
        <v>8</v>
      </c>
      <c r="D120" t="s">
        <v>45</v>
      </c>
      <c r="E120" s="7">
        <v>-7</v>
      </c>
      <c r="F120">
        <v>-350</v>
      </c>
      <c r="G120">
        <v>2</v>
      </c>
      <c r="I120" t="s">
        <v>46</v>
      </c>
      <c r="J120">
        <v>1</v>
      </c>
      <c r="K120">
        <v>29</v>
      </c>
    </row>
    <row r="121" spans="1:11" x14ac:dyDescent="0.35">
      <c r="A121" t="s">
        <v>174</v>
      </c>
      <c r="B121" s="4" t="s">
        <v>163</v>
      </c>
      <c r="C121">
        <v>9</v>
      </c>
      <c r="D121" t="s">
        <v>45</v>
      </c>
      <c r="E121" s="7">
        <v>-4</v>
      </c>
      <c r="F121">
        <v>-200</v>
      </c>
      <c r="G121">
        <v>2</v>
      </c>
      <c r="I121" t="s">
        <v>46</v>
      </c>
      <c r="J121">
        <v>1</v>
      </c>
      <c r="K121">
        <v>24</v>
      </c>
    </row>
    <row r="122" spans="1:11" x14ac:dyDescent="0.35">
      <c r="A122" t="s">
        <v>175</v>
      </c>
      <c r="B122" s="4" t="s">
        <v>163</v>
      </c>
      <c r="C122">
        <v>11</v>
      </c>
      <c r="D122" t="s">
        <v>45</v>
      </c>
      <c r="E122" s="7">
        <v>-4</v>
      </c>
      <c r="F122">
        <v>-200</v>
      </c>
      <c r="G122">
        <v>2</v>
      </c>
      <c r="I122" t="s">
        <v>46</v>
      </c>
      <c r="J122">
        <v>1</v>
      </c>
      <c r="K122">
        <v>85</v>
      </c>
    </row>
    <row r="123" spans="1:11" x14ac:dyDescent="0.35">
      <c r="A123" t="s">
        <v>176</v>
      </c>
      <c r="B123" s="4" t="s">
        <v>163</v>
      </c>
      <c r="C123">
        <v>12</v>
      </c>
      <c r="D123" t="s">
        <v>45</v>
      </c>
      <c r="E123" s="7">
        <v>-6</v>
      </c>
      <c r="F123">
        <v>-300</v>
      </c>
      <c r="G123">
        <v>2</v>
      </c>
      <c r="I123" t="s">
        <v>46</v>
      </c>
      <c r="J123">
        <v>1</v>
      </c>
      <c r="K123">
        <v>46</v>
      </c>
    </row>
    <row r="124" spans="1:11" x14ac:dyDescent="0.35">
      <c r="A124" t="s">
        <v>177</v>
      </c>
      <c r="B124" s="4" t="s">
        <v>163</v>
      </c>
      <c r="C124">
        <v>4</v>
      </c>
      <c r="D124" t="s">
        <v>45</v>
      </c>
      <c r="E124" s="7">
        <v>-7</v>
      </c>
      <c r="F124">
        <v>-350</v>
      </c>
      <c r="G124">
        <v>3</v>
      </c>
      <c r="I124" t="s">
        <v>46</v>
      </c>
      <c r="J124">
        <v>1</v>
      </c>
      <c r="K124">
        <v>25</v>
      </c>
    </row>
    <row r="125" spans="1:11" x14ac:dyDescent="0.35">
      <c r="A125" t="s">
        <v>178</v>
      </c>
      <c r="B125" s="4" t="s">
        <v>163</v>
      </c>
      <c r="C125">
        <v>5</v>
      </c>
      <c r="D125" t="s">
        <v>45</v>
      </c>
      <c r="E125" s="7">
        <v>-4</v>
      </c>
      <c r="F125">
        <v>-200</v>
      </c>
      <c r="G125">
        <v>3</v>
      </c>
      <c r="I125" t="s">
        <v>46</v>
      </c>
      <c r="J125">
        <v>1</v>
      </c>
      <c r="K125">
        <v>37</v>
      </c>
    </row>
    <row r="126" spans="1:11" x14ac:dyDescent="0.35">
      <c r="A126" t="s">
        <v>179</v>
      </c>
      <c r="B126" s="4" t="s">
        <v>163</v>
      </c>
      <c r="C126">
        <v>7</v>
      </c>
      <c r="D126" t="s">
        <v>45</v>
      </c>
      <c r="E126" s="7">
        <v>-8</v>
      </c>
      <c r="F126">
        <v>-400</v>
      </c>
      <c r="G126">
        <v>3</v>
      </c>
      <c r="I126" t="s">
        <v>46</v>
      </c>
      <c r="J126">
        <v>1</v>
      </c>
      <c r="K126">
        <v>27</v>
      </c>
    </row>
    <row r="127" spans="1:11" x14ac:dyDescent="0.35">
      <c r="A127" t="s">
        <v>180</v>
      </c>
      <c r="B127" s="4" t="s">
        <v>163</v>
      </c>
      <c r="C127">
        <v>8</v>
      </c>
      <c r="D127" t="s">
        <v>45</v>
      </c>
      <c r="E127" s="7">
        <v>-7</v>
      </c>
      <c r="F127">
        <v>-350</v>
      </c>
      <c r="G127">
        <v>3</v>
      </c>
      <c r="I127" t="s">
        <v>46</v>
      </c>
      <c r="J127">
        <v>1</v>
      </c>
      <c r="K127">
        <v>22</v>
      </c>
    </row>
    <row r="128" spans="1:11" x14ac:dyDescent="0.35">
      <c r="A128" t="s">
        <v>181</v>
      </c>
      <c r="B128" s="4" t="s">
        <v>163</v>
      </c>
      <c r="C128">
        <v>9</v>
      </c>
      <c r="D128" t="s">
        <v>45</v>
      </c>
      <c r="E128" s="7">
        <v>-4</v>
      </c>
      <c r="F128">
        <v>-200</v>
      </c>
      <c r="G128">
        <v>3</v>
      </c>
      <c r="I128" t="s">
        <v>46</v>
      </c>
      <c r="J128">
        <v>1</v>
      </c>
      <c r="K128">
        <v>20</v>
      </c>
    </row>
    <row r="129" spans="1:11" x14ac:dyDescent="0.35">
      <c r="A129" t="s">
        <v>182</v>
      </c>
      <c r="B129" s="4" t="s">
        <v>183</v>
      </c>
      <c r="C129">
        <v>4</v>
      </c>
      <c r="D129" t="s">
        <v>45</v>
      </c>
      <c r="E129" s="7">
        <v>-5</v>
      </c>
      <c r="F129">
        <v>-250</v>
      </c>
      <c r="G129">
        <v>1</v>
      </c>
      <c r="I129" t="s">
        <v>46</v>
      </c>
      <c r="J129">
        <v>1</v>
      </c>
      <c r="K129">
        <v>20</v>
      </c>
    </row>
    <row r="130" spans="1:11" x14ac:dyDescent="0.35">
      <c r="A130" t="s">
        <v>184</v>
      </c>
      <c r="B130" s="4" t="s">
        <v>183</v>
      </c>
      <c r="C130">
        <v>5</v>
      </c>
      <c r="D130" t="s">
        <v>45</v>
      </c>
      <c r="E130" s="7">
        <v>-3</v>
      </c>
      <c r="F130">
        <v>-150</v>
      </c>
      <c r="G130">
        <v>1</v>
      </c>
      <c r="I130" t="s">
        <v>46</v>
      </c>
      <c r="J130">
        <v>1</v>
      </c>
      <c r="K130">
        <v>34</v>
      </c>
    </row>
    <row r="131" spans="1:11" x14ac:dyDescent="0.35">
      <c r="A131" t="s">
        <v>185</v>
      </c>
      <c r="B131" s="4" t="s">
        <v>183</v>
      </c>
      <c r="C131">
        <v>7</v>
      </c>
      <c r="D131" t="s">
        <v>45</v>
      </c>
      <c r="E131" s="7">
        <v>-6</v>
      </c>
      <c r="F131">
        <v>-300</v>
      </c>
      <c r="G131">
        <v>1</v>
      </c>
      <c r="I131" t="s">
        <v>46</v>
      </c>
      <c r="J131">
        <v>1</v>
      </c>
      <c r="K131">
        <v>21</v>
      </c>
    </row>
    <row r="132" spans="1:11" x14ac:dyDescent="0.35">
      <c r="A132" t="s">
        <v>186</v>
      </c>
      <c r="B132" s="4" t="s">
        <v>183</v>
      </c>
      <c r="C132">
        <v>8</v>
      </c>
      <c r="D132" t="s">
        <v>45</v>
      </c>
      <c r="E132" s="7">
        <v>-4</v>
      </c>
      <c r="F132">
        <v>-200</v>
      </c>
      <c r="G132">
        <v>1</v>
      </c>
      <c r="I132" t="s">
        <v>46</v>
      </c>
      <c r="J132">
        <v>1</v>
      </c>
      <c r="K132">
        <v>18</v>
      </c>
    </row>
    <row r="133" spans="1:11" x14ac:dyDescent="0.35">
      <c r="A133" t="s">
        <v>187</v>
      </c>
      <c r="B133" s="4" t="s">
        <v>183</v>
      </c>
      <c r="C133">
        <v>9</v>
      </c>
      <c r="D133" t="s">
        <v>45</v>
      </c>
      <c r="E133" s="7">
        <v>-4</v>
      </c>
      <c r="F133">
        <v>-200</v>
      </c>
      <c r="G133">
        <v>1</v>
      </c>
      <c r="I133" t="s">
        <v>46</v>
      </c>
      <c r="J133">
        <v>1</v>
      </c>
      <c r="K133">
        <v>16</v>
      </c>
    </row>
    <row r="134" spans="1:11" x14ac:dyDescent="0.35">
      <c r="A134" t="s">
        <v>188</v>
      </c>
      <c r="B134" s="4" t="s">
        <v>183</v>
      </c>
      <c r="C134">
        <v>10</v>
      </c>
      <c r="D134" t="s">
        <v>45</v>
      </c>
      <c r="E134" s="7">
        <v>-3</v>
      </c>
      <c r="F134">
        <v>-150</v>
      </c>
      <c r="G134">
        <v>1</v>
      </c>
      <c r="I134" t="s">
        <v>46</v>
      </c>
      <c r="J134">
        <v>1</v>
      </c>
      <c r="K134">
        <v>38</v>
      </c>
    </row>
    <row r="135" spans="1:11" x14ac:dyDescent="0.35">
      <c r="A135" t="s">
        <v>189</v>
      </c>
      <c r="B135" s="4" t="s">
        <v>183</v>
      </c>
      <c r="C135">
        <v>1</v>
      </c>
      <c r="D135" t="s">
        <v>45</v>
      </c>
      <c r="E135" s="7">
        <v>-3</v>
      </c>
      <c r="F135">
        <v>-75</v>
      </c>
      <c r="G135">
        <v>2</v>
      </c>
      <c r="I135" t="s">
        <v>54</v>
      </c>
      <c r="J135">
        <v>1</v>
      </c>
      <c r="K135">
        <v>0</v>
      </c>
    </row>
    <row r="136" spans="1:11" x14ac:dyDescent="0.35">
      <c r="A136" t="s">
        <v>190</v>
      </c>
      <c r="B136" s="4" t="s">
        <v>183</v>
      </c>
      <c r="C136">
        <v>4</v>
      </c>
      <c r="D136" t="s">
        <v>45</v>
      </c>
      <c r="E136" s="7">
        <v>-4</v>
      </c>
      <c r="F136">
        <v>-200</v>
      </c>
      <c r="G136">
        <v>2</v>
      </c>
      <c r="I136" t="s">
        <v>46</v>
      </c>
      <c r="J136">
        <v>1</v>
      </c>
      <c r="K136">
        <v>16</v>
      </c>
    </row>
    <row r="137" spans="1:11" x14ac:dyDescent="0.35">
      <c r="A137" t="s">
        <v>191</v>
      </c>
      <c r="B137" s="4" t="s">
        <v>183</v>
      </c>
      <c r="C137">
        <v>6</v>
      </c>
      <c r="D137" t="s">
        <v>45</v>
      </c>
      <c r="E137" s="7">
        <v>-8</v>
      </c>
      <c r="F137">
        <v>-400</v>
      </c>
      <c r="G137">
        <v>2</v>
      </c>
      <c r="I137" t="s">
        <v>46</v>
      </c>
      <c r="J137">
        <v>1</v>
      </c>
      <c r="K137">
        <v>32</v>
      </c>
    </row>
    <row r="138" spans="1:11" x14ac:dyDescent="0.35">
      <c r="A138" t="s">
        <v>192</v>
      </c>
      <c r="B138" s="4" t="s">
        <v>183</v>
      </c>
      <c r="C138">
        <v>10</v>
      </c>
      <c r="D138" t="s">
        <v>45</v>
      </c>
      <c r="E138" s="7">
        <v>-5</v>
      </c>
      <c r="F138">
        <v>-250</v>
      </c>
      <c r="G138">
        <v>2</v>
      </c>
      <c r="I138" t="s">
        <v>46</v>
      </c>
      <c r="J138">
        <v>1</v>
      </c>
      <c r="K138">
        <v>33</v>
      </c>
    </row>
    <row r="139" spans="1:11" x14ac:dyDescent="0.35">
      <c r="A139" t="s">
        <v>193</v>
      </c>
      <c r="B139" s="4" t="s">
        <v>183</v>
      </c>
      <c r="C139">
        <v>4</v>
      </c>
      <c r="D139" t="s">
        <v>45</v>
      </c>
      <c r="E139" s="7">
        <v>-8</v>
      </c>
      <c r="F139">
        <v>-400</v>
      </c>
      <c r="G139">
        <v>3</v>
      </c>
      <c r="I139" t="s">
        <v>46</v>
      </c>
      <c r="J139">
        <v>1</v>
      </c>
      <c r="K139">
        <v>8</v>
      </c>
    </row>
    <row r="140" spans="1:11" x14ac:dyDescent="0.35">
      <c r="A140" t="s">
        <v>194</v>
      </c>
      <c r="B140" s="4" t="s">
        <v>183</v>
      </c>
      <c r="C140">
        <v>6</v>
      </c>
      <c r="D140" t="s">
        <v>45</v>
      </c>
      <c r="E140" s="7">
        <v>-3</v>
      </c>
      <c r="F140">
        <v>-150</v>
      </c>
      <c r="G140">
        <v>3</v>
      </c>
      <c r="I140" t="s">
        <v>46</v>
      </c>
      <c r="J140">
        <v>1</v>
      </c>
      <c r="K140">
        <v>29</v>
      </c>
    </row>
    <row r="141" spans="1:11" x14ac:dyDescent="0.35">
      <c r="A141" t="s">
        <v>195</v>
      </c>
      <c r="B141" s="4" t="s">
        <v>183</v>
      </c>
      <c r="C141">
        <v>8</v>
      </c>
      <c r="D141" t="s">
        <v>45</v>
      </c>
      <c r="E141" s="7">
        <v>-4</v>
      </c>
      <c r="F141">
        <v>-200</v>
      </c>
      <c r="G141">
        <v>3</v>
      </c>
      <c r="I141" t="s">
        <v>46</v>
      </c>
      <c r="J141">
        <v>1</v>
      </c>
      <c r="K141">
        <v>14</v>
      </c>
    </row>
    <row r="142" spans="1:11" x14ac:dyDescent="0.35">
      <c r="A142" t="s">
        <v>196</v>
      </c>
      <c r="B142" s="4" t="s">
        <v>183</v>
      </c>
      <c r="C142">
        <v>9</v>
      </c>
      <c r="D142" t="s">
        <v>45</v>
      </c>
      <c r="E142" s="7">
        <v>-5</v>
      </c>
      <c r="F142">
        <v>-250</v>
      </c>
      <c r="G142">
        <v>3</v>
      </c>
      <c r="I142" t="s">
        <v>46</v>
      </c>
      <c r="J142">
        <v>1</v>
      </c>
      <c r="K142">
        <v>11</v>
      </c>
    </row>
    <row r="143" spans="1:11" x14ac:dyDescent="0.35">
      <c r="A143" t="s">
        <v>197</v>
      </c>
      <c r="B143" s="4" t="s">
        <v>183</v>
      </c>
      <c r="C143">
        <v>11</v>
      </c>
      <c r="D143" t="s">
        <v>45</v>
      </c>
      <c r="E143" s="7">
        <v>-4</v>
      </c>
      <c r="F143">
        <v>-200</v>
      </c>
      <c r="G143">
        <v>3</v>
      </c>
      <c r="I143" t="s">
        <v>46</v>
      </c>
      <c r="J143">
        <v>1</v>
      </c>
      <c r="K143">
        <v>81</v>
      </c>
    </row>
    <row r="144" spans="1:11" x14ac:dyDescent="0.35">
      <c r="A144" t="s">
        <v>198</v>
      </c>
      <c r="B144" s="4" t="s">
        <v>183</v>
      </c>
      <c r="C144">
        <v>12</v>
      </c>
      <c r="D144" t="s">
        <v>45</v>
      </c>
      <c r="E144" s="7">
        <v>-7</v>
      </c>
      <c r="F144">
        <v>-350</v>
      </c>
      <c r="G144">
        <v>3</v>
      </c>
      <c r="I144" t="s">
        <v>46</v>
      </c>
      <c r="J144">
        <v>1</v>
      </c>
      <c r="K144">
        <v>39</v>
      </c>
    </row>
    <row r="145" spans="1:11" x14ac:dyDescent="0.35">
      <c r="A145" t="s">
        <v>199</v>
      </c>
      <c r="B145" s="4" t="s">
        <v>200</v>
      </c>
      <c r="C145">
        <v>4</v>
      </c>
      <c r="D145" t="s">
        <v>45</v>
      </c>
      <c r="E145" s="7">
        <v>-4</v>
      </c>
      <c r="F145">
        <v>-200</v>
      </c>
      <c r="G145">
        <v>1</v>
      </c>
      <c r="I145" t="s">
        <v>46</v>
      </c>
      <c r="J145">
        <v>1</v>
      </c>
      <c r="K145">
        <v>4</v>
      </c>
    </row>
    <row r="146" spans="1:11" x14ac:dyDescent="0.35">
      <c r="A146" t="s">
        <v>201</v>
      </c>
      <c r="B146" s="4" t="s">
        <v>200</v>
      </c>
      <c r="C146">
        <v>5</v>
      </c>
      <c r="D146" t="s">
        <v>45</v>
      </c>
      <c r="E146" s="7">
        <v>-5</v>
      </c>
      <c r="F146">
        <v>-250</v>
      </c>
      <c r="G146">
        <v>1</v>
      </c>
      <c r="I146" t="s">
        <v>46</v>
      </c>
      <c r="J146">
        <v>1</v>
      </c>
      <c r="K146">
        <v>29</v>
      </c>
    </row>
    <row r="147" spans="1:11" x14ac:dyDescent="0.35">
      <c r="A147" t="s">
        <v>202</v>
      </c>
      <c r="B147" s="4" t="s">
        <v>200</v>
      </c>
      <c r="C147">
        <v>6</v>
      </c>
      <c r="D147" t="s">
        <v>45</v>
      </c>
      <c r="E147" s="7">
        <v>-8</v>
      </c>
      <c r="F147">
        <v>-400</v>
      </c>
      <c r="G147">
        <v>1</v>
      </c>
      <c r="I147" t="s">
        <v>46</v>
      </c>
      <c r="J147">
        <v>1</v>
      </c>
      <c r="K147">
        <v>21</v>
      </c>
    </row>
    <row r="148" spans="1:11" x14ac:dyDescent="0.35">
      <c r="A148" t="s">
        <v>203</v>
      </c>
      <c r="B148" s="4" t="s">
        <v>200</v>
      </c>
      <c r="C148">
        <v>7</v>
      </c>
      <c r="D148" t="s">
        <v>45</v>
      </c>
      <c r="E148" s="7">
        <v>-3</v>
      </c>
      <c r="F148">
        <v>-150</v>
      </c>
      <c r="G148">
        <v>1</v>
      </c>
      <c r="I148" t="s">
        <v>46</v>
      </c>
      <c r="J148">
        <v>1</v>
      </c>
      <c r="K148">
        <v>18</v>
      </c>
    </row>
    <row r="149" spans="1:11" x14ac:dyDescent="0.35">
      <c r="A149" t="s">
        <v>204</v>
      </c>
      <c r="B149" s="4" t="s">
        <v>200</v>
      </c>
      <c r="C149">
        <v>8</v>
      </c>
      <c r="D149" t="s">
        <v>45</v>
      </c>
      <c r="E149" s="7">
        <v>-4</v>
      </c>
      <c r="F149">
        <v>-200</v>
      </c>
      <c r="G149">
        <v>1</v>
      </c>
      <c r="I149" t="s">
        <v>46</v>
      </c>
      <c r="J149">
        <v>1</v>
      </c>
      <c r="K149">
        <v>10</v>
      </c>
    </row>
    <row r="150" spans="1:11" x14ac:dyDescent="0.35">
      <c r="A150" t="s">
        <v>205</v>
      </c>
      <c r="B150" s="4" t="s">
        <v>200</v>
      </c>
      <c r="C150">
        <v>9</v>
      </c>
      <c r="D150" t="s">
        <v>45</v>
      </c>
      <c r="E150" s="7">
        <v>-4</v>
      </c>
      <c r="F150">
        <v>-200</v>
      </c>
      <c r="G150">
        <v>1</v>
      </c>
      <c r="I150" t="s">
        <v>46</v>
      </c>
      <c r="J150">
        <v>1</v>
      </c>
      <c r="K150">
        <v>7</v>
      </c>
    </row>
    <row r="151" spans="1:11" x14ac:dyDescent="0.35">
      <c r="A151" t="s">
        <v>206</v>
      </c>
      <c r="B151" s="4" t="s">
        <v>200</v>
      </c>
      <c r="C151">
        <v>10</v>
      </c>
      <c r="D151" t="s">
        <v>45</v>
      </c>
      <c r="E151" s="7">
        <v>-6</v>
      </c>
      <c r="F151">
        <v>-300</v>
      </c>
      <c r="G151">
        <v>1</v>
      </c>
      <c r="I151" t="s">
        <v>46</v>
      </c>
      <c r="J151">
        <v>1</v>
      </c>
      <c r="K151">
        <v>27</v>
      </c>
    </row>
    <row r="152" spans="1:11" x14ac:dyDescent="0.35">
      <c r="A152" t="s">
        <v>207</v>
      </c>
      <c r="B152" s="4" t="s">
        <v>200</v>
      </c>
      <c r="C152">
        <v>12</v>
      </c>
      <c r="D152" t="s">
        <v>45</v>
      </c>
      <c r="E152" s="7">
        <v>-5</v>
      </c>
      <c r="F152">
        <v>-250</v>
      </c>
      <c r="G152">
        <v>1</v>
      </c>
      <c r="I152" t="s">
        <v>46</v>
      </c>
      <c r="J152">
        <v>1</v>
      </c>
      <c r="K152">
        <v>34</v>
      </c>
    </row>
    <row r="153" spans="1:11" x14ac:dyDescent="0.35">
      <c r="A153" t="s">
        <v>208</v>
      </c>
      <c r="B153" s="4" t="s">
        <v>200</v>
      </c>
      <c r="C153">
        <v>5</v>
      </c>
      <c r="D153" t="s">
        <v>45</v>
      </c>
      <c r="E153" s="7">
        <v>-4</v>
      </c>
      <c r="F153">
        <v>-200</v>
      </c>
      <c r="G153">
        <v>2</v>
      </c>
      <c r="I153" t="s">
        <v>46</v>
      </c>
      <c r="J153">
        <v>1</v>
      </c>
      <c r="K153">
        <v>25</v>
      </c>
    </row>
    <row r="154" spans="1:11" x14ac:dyDescent="0.35">
      <c r="A154" t="s">
        <v>209</v>
      </c>
      <c r="B154" s="4" t="s">
        <v>200</v>
      </c>
      <c r="C154">
        <v>6</v>
      </c>
      <c r="D154" t="s">
        <v>45</v>
      </c>
      <c r="E154" s="7">
        <v>-7</v>
      </c>
      <c r="F154">
        <v>-350</v>
      </c>
      <c r="G154">
        <v>2</v>
      </c>
      <c r="I154" t="s">
        <v>46</v>
      </c>
      <c r="J154">
        <v>1</v>
      </c>
      <c r="K154">
        <v>14</v>
      </c>
    </row>
    <row r="155" spans="1:11" x14ac:dyDescent="0.35">
      <c r="A155" t="s">
        <v>210</v>
      </c>
      <c r="B155" s="4" t="s">
        <v>200</v>
      </c>
      <c r="C155">
        <v>8</v>
      </c>
      <c r="D155" t="s">
        <v>45</v>
      </c>
      <c r="E155" s="7">
        <v>-6</v>
      </c>
      <c r="F155">
        <v>-300</v>
      </c>
      <c r="G155">
        <v>2</v>
      </c>
      <c r="I155" t="s">
        <v>46</v>
      </c>
      <c r="J155">
        <v>1</v>
      </c>
      <c r="K155">
        <v>4</v>
      </c>
    </row>
    <row r="156" spans="1:11" x14ac:dyDescent="0.35">
      <c r="A156" t="s">
        <v>211</v>
      </c>
      <c r="B156" s="4" t="s">
        <v>200</v>
      </c>
      <c r="C156">
        <v>10</v>
      </c>
      <c r="D156" t="s">
        <v>45</v>
      </c>
      <c r="E156" s="7">
        <v>-4</v>
      </c>
      <c r="F156">
        <v>-200</v>
      </c>
      <c r="G156">
        <v>2</v>
      </c>
      <c r="I156" t="s">
        <v>46</v>
      </c>
      <c r="J156">
        <v>1</v>
      </c>
      <c r="K156">
        <v>23</v>
      </c>
    </row>
    <row r="157" spans="1:11" x14ac:dyDescent="0.35">
      <c r="A157" t="s">
        <v>212</v>
      </c>
      <c r="B157" s="4" t="s">
        <v>200</v>
      </c>
      <c r="C157">
        <v>12</v>
      </c>
      <c r="D157" t="s">
        <v>45</v>
      </c>
      <c r="E157" s="7">
        <v>-4</v>
      </c>
      <c r="F157">
        <v>-200</v>
      </c>
      <c r="G157">
        <v>2</v>
      </c>
      <c r="I157" t="s">
        <v>46</v>
      </c>
      <c r="J157">
        <v>1</v>
      </c>
      <c r="K157">
        <v>30</v>
      </c>
    </row>
    <row r="158" spans="1:11" x14ac:dyDescent="0.35">
      <c r="A158" t="s">
        <v>213</v>
      </c>
      <c r="B158" s="4" t="s">
        <v>200</v>
      </c>
      <c r="C158">
        <v>5</v>
      </c>
      <c r="D158" t="s">
        <v>45</v>
      </c>
      <c r="E158" s="7">
        <v>-6</v>
      </c>
      <c r="F158">
        <v>-300</v>
      </c>
      <c r="G158">
        <v>3</v>
      </c>
      <c r="I158" t="s">
        <v>46</v>
      </c>
      <c r="J158">
        <v>1</v>
      </c>
      <c r="K158">
        <v>19</v>
      </c>
    </row>
    <row r="159" spans="1:11" x14ac:dyDescent="0.35">
      <c r="A159" t="s">
        <v>214</v>
      </c>
      <c r="B159" s="4" t="s">
        <v>200</v>
      </c>
      <c r="C159">
        <v>6</v>
      </c>
      <c r="D159" t="s">
        <v>45</v>
      </c>
      <c r="E159" s="7">
        <v>-5</v>
      </c>
      <c r="F159">
        <v>-250</v>
      </c>
      <c r="G159">
        <v>3</v>
      </c>
      <c r="I159" t="s">
        <v>46</v>
      </c>
      <c r="J159">
        <v>1</v>
      </c>
      <c r="K159">
        <v>9</v>
      </c>
    </row>
    <row r="160" spans="1:11" x14ac:dyDescent="0.35">
      <c r="A160" t="s">
        <v>215</v>
      </c>
      <c r="B160" s="4" t="s">
        <v>200</v>
      </c>
      <c r="C160">
        <v>7</v>
      </c>
      <c r="D160" t="s">
        <v>45</v>
      </c>
      <c r="E160" s="7">
        <v>-7</v>
      </c>
      <c r="F160">
        <v>-350</v>
      </c>
      <c r="G160">
        <v>3</v>
      </c>
      <c r="I160" t="s">
        <v>46</v>
      </c>
      <c r="J160">
        <v>1</v>
      </c>
      <c r="K160">
        <v>11</v>
      </c>
    </row>
    <row r="161" spans="1:11" x14ac:dyDescent="0.35">
      <c r="A161" t="s">
        <v>216</v>
      </c>
      <c r="B161" s="4" t="s">
        <v>200</v>
      </c>
      <c r="C161">
        <v>8</v>
      </c>
      <c r="D161" t="s">
        <v>45</v>
      </c>
      <c r="E161" s="7">
        <v>-4</v>
      </c>
      <c r="F161">
        <v>-200</v>
      </c>
      <c r="G161">
        <v>3</v>
      </c>
      <c r="I161" t="s">
        <v>46</v>
      </c>
      <c r="J161">
        <v>1</v>
      </c>
      <c r="K161">
        <v>0</v>
      </c>
    </row>
    <row r="162" spans="1:11" x14ac:dyDescent="0.35">
      <c r="A162" t="s">
        <v>217</v>
      </c>
      <c r="B162" s="4" t="s">
        <v>200</v>
      </c>
      <c r="C162">
        <v>11</v>
      </c>
      <c r="D162" t="s">
        <v>45</v>
      </c>
      <c r="E162" s="7">
        <v>-4</v>
      </c>
      <c r="F162">
        <v>-200</v>
      </c>
      <c r="G162">
        <v>3</v>
      </c>
      <c r="I162" t="s">
        <v>46</v>
      </c>
      <c r="J162">
        <v>1</v>
      </c>
      <c r="K162">
        <v>77</v>
      </c>
    </row>
    <row r="163" spans="1:11" x14ac:dyDescent="0.35">
      <c r="A163" t="s">
        <v>218</v>
      </c>
      <c r="B163" s="4" t="s">
        <v>200</v>
      </c>
      <c r="C163">
        <v>12</v>
      </c>
      <c r="D163" t="s">
        <v>45</v>
      </c>
      <c r="E163" s="7">
        <v>-4</v>
      </c>
      <c r="F163">
        <v>-200</v>
      </c>
      <c r="G163">
        <v>3</v>
      </c>
      <c r="I163" t="s">
        <v>46</v>
      </c>
      <c r="J163">
        <v>1</v>
      </c>
      <c r="K163">
        <v>26</v>
      </c>
    </row>
    <row r="164" spans="1:11" x14ac:dyDescent="0.35">
      <c r="A164" t="s">
        <v>219</v>
      </c>
      <c r="B164" s="4" t="s">
        <v>220</v>
      </c>
      <c r="C164">
        <v>4</v>
      </c>
      <c r="D164" t="s">
        <v>45</v>
      </c>
      <c r="E164" s="7">
        <v>-4</v>
      </c>
      <c r="F164">
        <v>-200</v>
      </c>
      <c r="G164">
        <v>1</v>
      </c>
      <c r="I164" t="s">
        <v>46</v>
      </c>
      <c r="J164">
        <v>1</v>
      </c>
      <c r="K164">
        <v>0</v>
      </c>
    </row>
    <row r="165" spans="1:11" x14ac:dyDescent="0.35">
      <c r="A165" t="s">
        <v>221</v>
      </c>
      <c r="B165" s="4" t="s">
        <v>220</v>
      </c>
      <c r="C165">
        <v>5</v>
      </c>
      <c r="D165" t="s">
        <v>45</v>
      </c>
      <c r="E165" s="7">
        <v>-6</v>
      </c>
      <c r="F165">
        <v>-300</v>
      </c>
      <c r="G165">
        <v>1</v>
      </c>
      <c r="I165" t="s">
        <v>46</v>
      </c>
      <c r="J165">
        <v>1</v>
      </c>
      <c r="K165">
        <v>13</v>
      </c>
    </row>
    <row r="166" spans="1:11" x14ac:dyDescent="0.35">
      <c r="A166" t="s">
        <v>222</v>
      </c>
      <c r="B166" s="4" t="s">
        <v>220</v>
      </c>
      <c r="C166">
        <v>6</v>
      </c>
      <c r="D166" t="s">
        <v>45</v>
      </c>
      <c r="E166" s="7">
        <v>-4</v>
      </c>
      <c r="F166">
        <v>-200</v>
      </c>
      <c r="G166">
        <v>1</v>
      </c>
      <c r="I166" t="s">
        <v>46</v>
      </c>
      <c r="J166">
        <v>1</v>
      </c>
      <c r="K166">
        <v>5</v>
      </c>
    </row>
    <row r="167" spans="1:11" x14ac:dyDescent="0.35">
      <c r="A167" t="s">
        <v>223</v>
      </c>
      <c r="B167" s="4" t="s">
        <v>220</v>
      </c>
      <c r="C167">
        <v>7</v>
      </c>
      <c r="D167" t="s">
        <v>45</v>
      </c>
      <c r="E167" s="7">
        <v>-5</v>
      </c>
      <c r="F167">
        <v>-250</v>
      </c>
      <c r="G167">
        <v>1</v>
      </c>
      <c r="I167" t="s">
        <v>46</v>
      </c>
      <c r="J167">
        <v>1</v>
      </c>
      <c r="K167">
        <v>6</v>
      </c>
    </row>
    <row r="168" spans="1:11" x14ac:dyDescent="0.35">
      <c r="A168" t="s">
        <v>224</v>
      </c>
      <c r="B168" s="4" t="s">
        <v>220</v>
      </c>
      <c r="C168">
        <v>10</v>
      </c>
      <c r="D168" t="s">
        <v>45</v>
      </c>
      <c r="E168" s="7">
        <v>-7</v>
      </c>
      <c r="F168">
        <v>-350</v>
      </c>
      <c r="G168">
        <v>1</v>
      </c>
      <c r="I168" t="s">
        <v>46</v>
      </c>
      <c r="J168">
        <v>1</v>
      </c>
      <c r="K168">
        <v>16</v>
      </c>
    </row>
    <row r="169" spans="1:11" x14ac:dyDescent="0.35">
      <c r="A169" t="s">
        <v>225</v>
      </c>
      <c r="B169" s="4" t="s">
        <v>220</v>
      </c>
      <c r="C169">
        <v>11</v>
      </c>
      <c r="D169" t="s">
        <v>45</v>
      </c>
      <c r="E169" s="7">
        <v>-6</v>
      </c>
      <c r="F169">
        <v>-300</v>
      </c>
      <c r="G169">
        <v>1</v>
      </c>
      <c r="I169" t="s">
        <v>46</v>
      </c>
      <c r="J169">
        <v>1</v>
      </c>
      <c r="K169">
        <v>71</v>
      </c>
    </row>
    <row r="170" spans="1:11" x14ac:dyDescent="0.35">
      <c r="A170" t="s">
        <v>226</v>
      </c>
      <c r="B170" s="4" t="s">
        <v>220</v>
      </c>
      <c r="C170">
        <v>12</v>
      </c>
      <c r="D170" t="s">
        <v>45</v>
      </c>
      <c r="E170" s="7">
        <v>-6</v>
      </c>
      <c r="F170">
        <v>-300</v>
      </c>
      <c r="G170">
        <v>1</v>
      </c>
      <c r="I170" t="s">
        <v>46</v>
      </c>
      <c r="J170">
        <v>1</v>
      </c>
      <c r="K170">
        <v>20</v>
      </c>
    </row>
    <row r="171" spans="1:11" x14ac:dyDescent="0.35">
      <c r="A171" t="s">
        <v>227</v>
      </c>
      <c r="B171" s="4" t="s">
        <v>220</v>
      </c>
      <c r="C171">
        <v>5</v>
      </c>
      <c r="D171" t="s">
        <v>45</v>
      </c>
      <c r="E171" s="7">
        <v>-4</v>
      </c>
      <c r="F171">
        <v>-200</v>
      </c>
      <c r="G171">
        <v>2</v>
      </c>
      <c r="I171" t="s">
        <v>46</v>
      </c>
      <c r="J171">
        <v>1</v>
      </c>
      <c r="K171">
        <v>9</v>
      </c>
    </row>
    <row r="172" spans="1:11" x14ac:dyDescent="0.35">
      <c r="A172" t="s">
        <v>228</v>
      </c>
      <c r="B172" s="4" t="s">
        <v>220</v>
      </c>
      <c r="C172">
        <v>6</v>
      </c>
      <c r="D172" t="s">
        <v>45</v>
      </c>
      <c r="E172" s="7">
        <v>-3</v>
      </c>
      <c r="F172">
        <v>-150</v>
      </c>
      <c r="G172">
        <v>2</v>
      </c>
      <c r="I172" t="s">
        <v>46</v>
      </c>
      <c r="J172">
        <v>1</v>
      </c>
      <c r="K172">
        <v>2</v>
      </c>
    </row>
    <row r="173" spans="1:11" x14ac:dyDescent="0.35">
      <c r="A173" t="s">
        <v>229</v>
      </c>
      <c r="B173" s="4" t="s">
        <v>220</v>
      </c>
      <c r="C173">
        <v>7</v>
      </c>
      <c r="D173" t="s">
        <v>45</v>
      </c>
      <c r="E173" s="7">
        <v>-5</v>
      </c>
      <c r="F173">
        <v>-250</v>
      </c>
      <c r="G173">
        <v>2</v>
      </c>
      <c r="I173" t="s">
        <v>46</v>
      </c>
      <c r="J173">
        <v>1</v>
      </c>
      <c r="K173">
        <v>1</v>
      </c>
    </row>
    <row r="174" spans="1:11" x14ac:dyDescent="0.35">
      <c r="A174" t="s">
        <v>230</v>
      </c>
      <c r="B174" s="4" t="s">
        <v>220</v>
      </c>
      <c r="C174">
        <v>10</v>
      </c>
      <c r="D174" t="s">
        <v>45</v>
      </c>
      <c r="E174" s="7">
        <v>-6</v>
      </c>
      <c r="F174">
        <v>-300</v>
      </c>
      <c r="G174">
        <v>2</v>
      </c>
      <c r="I174" t="s">
        <v>46</v>
      </c>
      <c r="J174">
        <v>1</v>
      </c>
      <c r="K174">
        <v>10</v>
      </c>
    </row>
    <row r="175" spans="1:11" x14ac:dyDescent="0.35">
      <c r="A175" t="s">
        <v>231</v>
      </c>
      <c r="B175" s="4" t="s">
        <v>220</v>
      </c>
      <c r="C175">
        <v>11</v>
      </c>
      <c r="D175" t="s">
        <v>45</v>
      </c>
      <c r="E175" s="7">
        <v>-7</v>
      </c>
      <c r="F175">
        <v>-350</v>
      </c>
      <c r="G175">
        <v>2</v>
      </c>
      <c r="I175" t="s">
        <v>46</v>
      </c>
      <c r="J175">
        <v>1</v>
      </c>
      <c r="K175">
        <v>64</v>
      </c>
    </row>
    <row r="176" spans="1:11" x14ac:dyDescent="0.35">
      <c r="A176" t="s">
        <v>232</v>
      </c>
      <c r="B176" s="4" t="s">
        <v>220</v>
      </c>
      <c r="C176">
        <v>12</v>
      </c>
      <c r="D176" t="s">
        <v>45</v>
      </c>
      <c r="E176" s="7">
        <v>-5</v>
      </c>
      <c r="F176">
        <v>-250</v>
      </c>
      <c r="G176">
        <v>2</v>
      </c>
      <c r="I176" t="s">
        <v>46</v>
      </c>
      <c r="J176">
        <v>1</v>
      </c>
      <c r="K176">
        <v>15</v>
      </c>
    </row>
    <row r="177" spans="1:11" x14ac:dyDescent="0.35">
      <c r="A177" t="s">
        <v>233</v>
      </c>
      <c r="B177" s="4" t="s">
        <v>220</v>
      </c>
      <c r="C177">
        <v>9</v>
      </c>
      <c r="D177" t="s">
        <v>45</v>
      </c>
      <c r="E177" s="7">
        <v>-3</v>
      </c>
      <c r="F177">
        <v>-150</v>
      </c>
      <c r="G177">
        <v>3</v>
      </c>
      <c r="I177" t="s">
        <v>46</v>
      </c>
      <c r="J177">
        <v>1</v>
      </c>
      <c r="K177">
        <v>4</v>
      </c>
    </row>
    <row r="178" spans="1:11" x14ac:dyDescent="0.35">
      <c r="A178" t="s">
        <v>234</v>
      </c>
      <c r="B178" s="4" t="s">
        <v>220</v>
      </c>
      <c r="C178">
        <v>10</v>
      </c>
      <c r="D178" t="s">
        <v>45</v>
      </c>
      <c r="E178" s="7">
        <v>-8</v>
      </c>
      <c r="F178">
        <v>-400</v>
      </c>
      <c r="G178">
        <v>3</v>
      </c>
      <c r="I178" t="s">
        <v>46</v>
      </c>
      <c r="J178">
        <v>1</v>
      </c>
      <c r="K178">
        <v>2</v>
      </c>
    </row>
    <row r="179" spans="1:11" x14ac:dyDescent="0.35">
      <c r="A179" t="s">
        <v>235</v>
      </c>
      <c r="B179" s="4" t="s">
        <v>220</v>
      </c>
      <c r="C179">
        <v>12</v>
      </c>
      <c r="D179" t="s">
        <v>45</v>
      </c>
      <c r="E179" s="7">
        <v>-7</v>
      </c>
      <c r="F179">
        <v>-350</v>
      </c>
      <c r="G179">
        <v>3</v>
      </c>
      <c r="I179" t="s">
        <v>46</v>
      </c>
      <c r="J179">
        <v>1</v>
      </c>
      <c r="K179">
        <v>8</v>
      </c>
    </row>
    <row r="180" spans="1:11" x14ac:dyDescent="0.35">
      <c r="A180" t="s">
        <v>236</v>
      </c>
      <c r="B180" s="4" t="s">
        <v>237</v>
      </c>
      <c r="C180">
        <v>5</v>
      </c>
      <c r="D180" t="s">
        <v>45</v>
      </c>
      <c r="E180" s="7">
        <v>-6</v>
      </c>
      <c r="F180">
        <v>-300</v>
      </c>
      <c r="G180">
        <v>1</v>
      </c>
      <c r="I180" t="s">
        <v>46</v>
      </c>
      <c r="J180">
        <v>1</v>
      </c>
      <c r="K180">
        <v>3</v>
      </c>
    </row>
    <row r="181" spans="1:11" x14ac:dyDescent="0.35">
      <c r="A181" t="s">
        <v>238</v>
      </c>
      <c r="B181" s="4" t="s">
        <v>237</v>
      </c>
      <c r="C181">
        <v>11</v>
      </c>
      <c r="D181" t="s">
        <v>45</v>
      </c>
      <c r="E181" s="7">
        <v>-8</v>
      </c>
      <c r="F181">
        <v>-400</v>
      </c>
      <c r="G181">
        <v>1</v>
      </c>
      <c r="I181" t="s">
        <v>46</v>
      </c>
      <c r="J181">
        <v>1</v>
      </c>
      <c r="K181">
        <v>56</v>
      </c>
    </row>
    <row r="182" spans="1:11" x14ac:dyDescent="0.35">
      <c r="A182" t="s">
        <v>239</v>
      </c>
      <c r="B182" s="4" t="s">
        <v>237</v>
      </c>
      <c r="C182">
        <v>12</v>
      </c>
      <c r="D182" t="s">
        <v>45</v>
      </c>
      <c r="E182" s="7">
        <v>-7</v>
      </c>
      <c r="F182">
        <v>-350</v>
      </c>
      <c r="G182">
        <v>1</v>
      </c>
      <c r="I182" t="s">
        <v>46</v>
      </c>
      <c r="J182">
        <v>1</v>
      </c>
      <c r="K182">
        <v>1</v>
      </c>
    </row>
    <row r="183" spans="1:11" x14ac:dyDescent="0.35">
      <c r="A183" t="s">
        <v>240</v>
      </c>
      <c r="B183" s="4" t="s">
        <v>237</v>
      </c>
      <c r="C183">
        <v>9</v>
      </c>
      <c r="D183" t="s">
        <v>45</v>
      </c>
      <c r="E183" s="7">
        <v>-4</v>
      </c>
      <c r="F183">
        <v>-200</v>
      </c>
      <c r="G183">
        <v>2</v>
      </c>
      <c r="I183" t="s">
        <v>46</v>
      </c>
      <c r="J183">
        <v>1</v>
      </c>
      <c r="K183">
        <v>0</v>
      </c>
    </row>
    <row r="184" spans="1:11" x14ac:dyDescent="0.35">
      <c r="A184" t="s">
        <v>241</v>
      </c>
      <c r="B184" s="4" t="s">
        <v>237</v>
      </c>
      <c r="C184">
        <v>11</v>
      </c>
      <c r="D184" t="s">
        <v>45</v>
      </c>
      <c r="E184" s="7">
        <v>-5</v>
      </c>
      <c r="F184">
        <v>-250</v>
      </c>
      <c r="G184">
        <v>2</v>
      </c>
      <c r="I184" t="s">
        <v>46</v>
      </c>
      <c r="J184">
        <v>1</v>
      </c>
      <c r="K184">
        <v>51</v>
      </c>
    </row>
    <row r="185" spans="1:11" x14ac:dyDescent="0.35">
      <c r="A185" t="s">
        <v>242</v>
      </c>
      <c r="B185" s="4" t="s">
        <v>237</v>
      </c>
      <c r="C185">
        <v>11</v>
      </c>
      <c r="D185" t="s">
        <v>45</v>
      </c>
      <c r="E185" s="7">
        <v>-8</v>
      </c>
      <c r="F185">
        <v>-400</v>
      </c>
      <c r="G185">
        <v>3</v>
      </c>
      <c r="I185" t="s">
        <v>46</v>
      </c>
      <c r="J185">
        <v>1</v>
      </c>
      <c r="K185">
        <v>43</v>
      </c>
    </row>
    <row r="186" spans="1:11" x14ac:dyDescent="0.35">
      <c r="A186" t="s">
        <v>243</v>
      </c>
      <c r="B186" s="4" t="s">
        <v>244</v>
      </c>
      <c r="C186">
        <v>11</v>
      </c>
      <c r="D186" t="s">
        <v>45</v>
      </c>
      <c r="E186" s="7">
        <v>-7</v>
      </c>
      <c r="F186">
        <v>-350</v>
      </c>
      <c r="G186">
        <v>1</v>
      </c>
      <c r="I186" t="s">
        <v>46</v>
      </c>
      <c r="J186">
        <v>1</v>
      </c>
      <c r="K186">
        <v>36</v>
      </c>
    </row>
    <row r="187" spans="1:11" x14ac:dyDescent="0.35">
      <c r="A187" t="s">
        <v>245</v>
      </c>
      <c r="B187" s="4" t="s">
        <v>244</v>
      </c>
      <c r="C187">
        <v>11</v>
      </c>
      <c r="D187" t="s">
        <v>45</v>
      </c>
      <c r="E187" s="7">
        <v>-4</v>
      </c>
      <c r="F187">
        <v>-200</v>
      </c>
      <c r="G187">
        <v>3</v>
      </c>
      <c r="I187" t="s">
        <v>46</v>
      </c>
      <c r="J187">
        <v>1</v>
      </c>
      <c r="K187">
        <v>32</v>
      </c>
    </row>
    <row r="188" spans="1:11" x14ac:dyDescent="0.35">
      <c r="A188" t="s">
        <v>246</v>
      </c>
      <c r="B188" s="4" t="s">
        <v>247</v>
      </c>
      <c r="C188">
        <v>11</v>
      </c>
      <c r="D188" t="s">
        <v>45</v>
      </c>
      <c r="E188" s="7">
        <v>-8</v>
      </c>
      <c r="F188">
        <v>-400</v>
      </c>
      <c r="G188">
        <v>1</v>
      </c>
      <c r="I188" t="s">
        <v>46</v>
      </c>
      <c r="J188">
        <v>1</v>
      </c>
      <c r="K188">
        <v>24</v>
      </c>
    </row>
    <row r="189" spans="1:11" x14ac:dyDescent="0.35">
      <c r="A189" t="s">
        <v>248</v>
      </c>
      <c r="B189" s="4" t="s">
        <v>249</v>
      </c>
      <c r="C189">
        <v>11</v>
      </c>
      <c r="D189" t="s">
        <v>45</v>
      </c>
      <c r="E189" s="7">
        <v>-3</v>
      </c>
      <c r="F189">
        <v>-150</v>
      </c>
      <c r="G189">
        <v>1</v>
      </c>
      <c r="I189" t="s">
        <v>46</v>
      </c>
      <c r="J189">
        <v>1</v>
      </c>
      <c r="K189">
        <v>21</v>
      </c>
    </row>
    <row r="190" spans="1:11" x14ac:dyDescent="0.35">
      <c r="A190" t="s">
        <v>250</v>
      </c>
      <c r="B190" s="4" t="s">
        <v>251</v>
      </c>
      <c r="C190">
        <v>11</v>
      </c>
      <c r="D190" t="s">
        <v>45</v>
      </c>
      <c r="E190" s="7">
        <v>-5</v>
      </c>
      <c r="F190">
        <v>-250</v>
      </c>
      <c r="G190">
        <v>1</v>
      </c>
      <c r="I190" t="s">
        <v>46</v>
      </c>
      <c r="J190">
        <v>1</v>
      </c>
      <c r="K190">
        <v>16</v>
      </c>
    </row>
    <row r="191" spans="1:11" x14ac:dyDescent="0.35">
      <c r="A191" t="s">
        <v>252</v>
      </c>
      <c r="B191" s="4" t="s">
        <v>251</v>
      </c>
      <c r="C191">
        <v>5</v>
      </c>
      <c r="D191" t="s">
        <v>45</v>
      </c>
      <c r="E191" s="7">
        <v>-3</v>
      </c>
      <c r="F191">
        <v>-150</v>
      </c>
      <c r="G191">
        <v>2</v>
      </c>
      <c r="I191" t="s">
        <v>46</v>
      </c>
      <c r="J191">
        <v>1</v>
      </c>
      <c r="K191">
        <v>0</v>
      </c>
    </row>
    <row r="192" spans="1:11" x14ac:dyDescent="0.35">
      <c r="A192" t="s">
        <v>253</v>
      </c>
      <c r="B192" s="4" t="s">
        <v>251</v>
      </c>
      <c r="C192">
        <v>11</v>
      </c>
      <c r="D192" t="s">
        <v>45</v>
      </c>
      <c r="E192" s="7">
        <v>-3</v>
      </c>
      <c r="F192">
        <v>-150</v>
      </c>
      <c r="G192">
        <v>3</v>
      </c>
      <c r="I192" t="s">
        <v>46</v>
      </c>
      <c r="J192">
        <v>1</v>
      </c>
      <c r="K192">
        <v>13</v>
      </c>
    </row>
    <row r="193" spans="1:11" x14ac:dyDescent="0.35">
      <c r="A193" t="s">
        <v>254</v>
      </c>
      <c r="B193" s="4" t="s">
        <v>255</v>
      </c>
      <c r="C193">
        <v>11</v>
      </c>
      <c r="D193" t="s">
        <v>45</v>
      </c>
      <c r="E193" s="7">
        <v>-8</v>
      </c>
      <c r="F193">
        <v>-400</v>
      </c>
      <c r="G193">
        <v>2</v>
      </c>
      <c r="I193" t="s">
        <v>46</v>
      </c>
      <c r="J193">
        <v>1</v>
      </c>
      <c r="K193">
        <v>5</v>
      </c>
    </row>
    <row r="194" spans="1:11" x14ac:dyDescent="0.35">
      <c r="A194" t="s">
        <v>256</v>
      </c>
      <c r="B194" s="4" t="s">
        <v>257</v>
      </c>
      <c r="C194">
        <v>3</v>
      </c>
      <c r="D194" t="s">
        <v>71</v>
      </c>
      <c r="E194" s="7">
        <v>58</v>
      </c>
      <c r="F194">
        <v>2900</v>
      </c>
      <c r="G194">
        <v>4</v>
      </c>
      <c r="H194">
        <v>2</v>
      </c>
      <c r="I194" t="s">
        <v>72</v>
      </c>
      <c r="J194">
        <v>1</v>
      </c>
      <c r="K194">
        <v>158</v>
      </c>
    </row>
    <row r="195" spans="1:11" x14ac:dyDescent="0.35">
      <c r="A195" t="s">
        <v>258</v>
      </c>
      <c r="B195" s="4" t="s">
        <v>257</v>
      </c>
      <c r="C195">
        <v>12</v>
      </c>
      <c r="D195" t="s">
        <v>71</v>
      </c>
      <c r="E195" s="7">
        <v>49</v>
      </c>
      <c r="F195">
        <v>2450</v>
      </c>
      <c r="G195">
        <v>4</v>
      </c>
      <c r="H195">
        <v>3</v>
      </c>
      <c r="I195" t="s">
        <v>72</v>
      </c>
      <c r="J195">
        <v>1</v>
      </c>
      <c r="K195">
        <v>50</v>
      </c>
    </row>
    <row r="196" spans="1:11" x14ac:dyDescent="0.35">
      <c r="A196" t="s">
        <v>259</v>
      </c>
      <c r="B196" s="4" t="s">
        <v>257</v>
      </c>
      <c r="C196">
        <v>31</v>
      </c>
      <c r="D196" t="s">
        <v>71</v>
      </c>
      <c r="E196" s="7">
        <v>28</v>
      </c>
      <c r="F196">
        <v>1400</v>
      </c>
      <c r="G196">
        <v>4</v>
      </c>
      <c r="H196">
        <v>3</v>
      </c>
      <c r="I196" t="s">
        <v>72</v>
      </c>
      <c r="J196">
        <v>1</v>
      </c>
      <c r="K196">
        <v>128</v>
      </c>
    </row>
    <row r="197" spans="1:11" x14ac:dyDescent="0.35">
      <c r="A197" t="s">
        <v>260</v>
      </c>
      <c r="B197" s="4" t="s">
        <v>257</v>
      </c>
      <c r="C197">
        <v>34</v>
      </c>
      <c r="D197" t="s">
        <v>71</v>
      </c>
      <c r="E197" s="7">
        <v>25</v>
      </c>
      <c r="F197">
        <v>1250</v>
      </c>
      <c r="G197">
        <v>4</v>
      </c>
      <c r="H197">
        <v>4</v>
      </c>
      <c r="I197" t="s">
        <v>72</v>
      </c>
      <c r="J197">
        <v>1</v>
      </c>
      <c r="K197">
        <v>152</v>
      </c>
    </row>
    <row r="198" spans="1:11" x14ac:dyDescent="0.35">
      <c r="A198" t="s">
        <v>261</v>
      </c>
      <c r="B198" s="4" t="s">
        <v>257</v>
      </c>
      <c r="C198">
        <v>12</v>
      </c>
      <c r="D198" t="s">
        <v>45</v>
      </c>
      <c r="E198" s="7">
        <v>-3</v>
      </c>
      <c r="F198">
        <v>-150</v>
      </c>
      <c r="G198">
        <v>1</v>
      </c>
      <c r="I198" t="s">
        <v>46</v>
      </c>
      <c r="J198">
        <v>1</v>
      </c>
      <c r="K198">
        <v>47</v>
      </c>
    </row>
    <row r="199" spans="1:11" x14ac:dyDescent="0.35">
      <c r="A199" t="s">
        <v>262</v>
      </c>
      <c r="B199" s="4" t="s">
        <v>257</v>
      </c>
      <c r="C199">
        <v>11</v>
      </c>
      <c r="D199" t="s">
        <v>45</v>
      </c>
      <c r="E199" s="7">
        <v>-5</v>
      </c>
      <c r="F199">
        <v>-250</v>
      </c>
      <c r="G199">
        <v>2</v>
      </c>
      <c r="I199" t="s">
        <v>46</v>
      </c>
      <c r="J199">
        <v>1</v>
      </c>
      <c r="K199">
        <v>0</v>
      </c>
    </row>
    <row r="200" spans="1:11" x14ac:dyDescent="0.35">
      <c r="A200" t="s">
        <v>263</v>
      </c>
      <c r="B200" s="4" t="s">
        <v>257</v>
      </c>
      <c r="C200">
        <v>12</v>
      </c>
      <c r="D200" t="s">
        <v>45</v>
      </c>
      <c r="E200" s="7">
        <v>-8</v>
      </c>
      <c r="F200">
        <v>-400</v>
      </c>
      <c r="G200">
        <v>2</v>
      </c>
      <c r="I200" t="s">
        <v>46</v>
      </c>
      <c r="J200">
        <v>1</v>
      </c>
      <c r="K200">
        <v>39</v>
      </c>
    </row>
    <row r="201" spans="1:11" x14ac:dyDescent="0.35">
      <c r="A201" t="s">
        <v>264</v>
      </c>
      <c r="B201" s="4" t="s">
        <v>257</v>
      </c>
      <c r="C201">
        <v>12</v>
      </c>
      <c r="D201" t="s">
        <v>45</v>
      </c>
      <c r="E201" s="7">
        <v>-3</v>
      </c>
      <c r="F201">
        <v>-150</v>
      </c>
      <c r="G201">
        <v>3</v>
      </c>
      <c r="I201" t="s">
        <v>46</v>
      </c>
      <c r="J201">
        <v>1</v>
      </c>
      <c r="K201">
        <v>36</v>
      </c>
    </row>
    <row r="202" spans="1:11" x14ac:dyDescent="0.35">
      <c r="A202" t="s">
        <v>265</v>
      </c>
      <c r="B202" s="4" t="s">
        <v>266</v>
      </c>
      <c r="C202">
        <v>32</v>
      </c>
      <c r="D202" t="s">
        <v>71</v>
      </c>
      <c r="E202" s="7">
        <v>42</v>
      </c>
      <c r="F202">
        <v>2100</v>
      </c>
      <c r="G202">
        <v>4</v>
      </c>
      <c r="H202">
        <v>4</v>
      </c>
      <c r="I202" t="s">
        <v>72</v>
      </c>
      <c r="J202">
        <v>1</v>
      </c>
      <c r="K202">
        <v>142</v>
      </c>
    </row>
    <row r="203" spans="1:11" x14ac:dyDescent="0.35">
      <c r="A203" t="s">
        <v>267</v>
      </c>
      <c r="B203" s="4" t="s">
        <v>266</v>
      </c>
      <c r="C203">
        <v>19</v>
      </c>
      <c r="D203" t="s">
        <v>71</v>
      </c>
      <c r="E203" s="7">
        <v>28</v>
      </c>
      <c r="F203">
        <v>1400</v>
      </c>
      <c r="G203">
        <v>4</v>
      </c>
      <c r="H203">
        <v>3</v>
      </c>
      <c r="I203" t="s">
        <v>72</v>
      </c>
      <c r="J203">
        <v>1</v>
      </c>
      <c r="K203">
        <v>128</v>
      </c>
    </row>
    <row r="204" spans="1:11" x14ac:dyDescent="0.35">
      <c r="A204" t="s">
        <v>268</v>
      </c>
      <c r="B204" s="4" t="s">
        <v>266</v>
      </c>
      <c r="C204">
        <v>33</v>
      </c>
      <c r="D204" t="s">
        <v>71</v>
      </c>
      <c r="E204" s="7">
        <v>33</v>
      </c>
      <c r="F204">
        <v>1650</v>
      </c>
      <c r="G204">
        <v>4</v>
      </c>
      <c r="H204">
        <v>4</v>
      </c>
      <c r="I204" t="s">
        <v>72</v>
      </c>
      <c r="J204">
        <v>1</v>
      </c>
      <c r="K204">
        <v>133</v>
      </c>
    </row>
    <row r="205" spans="1:11" x14ac:dyDescent="0.35">
      <c r="A205" t="s">
        <v>269</v>
      </c>
      <c r="B205" s="4" t="s">
        <v>266</v>
      </c>
      <c r="C205">
        <v>12</v>
      </c>
      <c r="D205" t="s">
        <v>45</v>
      </c>
      <c r="E205" s="7">
        <v>-7</v>
      </c>
      <c r="F205">
        <v>-350</v>
      </c>
      <c r="G205">
        <v>1</v>
      </c>
      <c r="I205" t="s">
        <v>46</v>
      </c>
      <c r="J205">
        <v>1</v>
      </c>
      <c r="K205">
        <v>29</v>
      </c>
    </row>
    <row r="206" spans="1:11" x14ac:dyDescent="0.35">
      <c r="A206" t="s">
        <v>270</v>
      </c>
      <c r="B206" s="4" t="s">
        <v>266</v>
      </c>
      <c r="C206">
        <v>12</v>
      </c>
      <c r="D206" t="s">
        <v>45</v>
      </c>
      <c r="E206" s="7">
        <v>-8</v>
      </c>
      <c r="F206">
        <v>-400</v>
      </c>
      <c r="G206">
        <v>2</v>
      </c>
      <c r="I206" t="s">
        <v>46</v>
      </c>
      <c r="J206">
        <v>1</v>
      </c>
      <c r="K206">
        <v>21</v>
      </c>
    </row>
    <row r="207" spans="1:11" x14ac:dyDescent="0.35">
      <c r="A207" t="s">
        <v>271</v>
      </c>
      <c r="B207" s="4" t="s">
        <v>266</v>
      </c>
      <c r="C207">
        <v>12</v>
      </c>
      <c r="D207" t="s">
        <v>45</v>
      </c>
      <c r="E207" s="7">
        <v>-5</v>
      </c>
      <c r="F207">
        <v>-250</v>
      </c>
      <c r="G207">
        <v>3</v>
      </c>
      <c r="I207" t="s">
        <v>46</v>
      </c>
      <c r="J207">
        <v>1</v>
      </c>
      <c r="K207">
        <v>16</v>
      </c>
    </row>
    <row r="208" spans="1:11" x14ac:dyDescent="0.35">
      <c r="A208" t="s">
        <v>272</v>
      </c>
      <c r="B208" s="4" t="s">
        <v>273</v>
      </c>
      <c r="C208">
        <v>12</v>
      </c>
      <c r="D208" t="s">
        <v>45</v>
      </c>
      <c r="E208" s="7">
        <v>-4</v>
      </c>
      <c r="F208">
        <v>-200</v>
      </c>
      <c r="G208">
        <v>1</v>
      </c>
      <c r="I208" t="s">
        <v>46</v>
      </c>
      <c r="J208">
        <v>1</v>
      </c>
      <c r="K208">
        <v>12</v>
      </c>
    </row>
    <row r="209" spans="1:11" x14ac:dyDescent="0.35">
      <c r="A209" t="s">
        <v>274</v>
      </c>
      <c r="B209" s="4" t="s">
        <v>273</v>
      </c>
      <c r="C209">
        <v>12</v>
      </c>
      <c r="D209" t="s">
        <v>45</v>
      </c>
      <c r="E209" s="7">
        <v>-3</v>
      </c>
      <c r="F209">
        <v>-150</v>
      </c>
      <c r="G209">
        <v>2</v>
      </c>
      <c r="I209" t="s">
        <v>46</v>
      </c>
      <c r="J209">
        <v>1</v>
      </c>
      <c r="K209">
        <v>9</v>
      </c>
    </row>
    <row r="210" spans="1:11" x14ac:dyDescent="0.35">
      <c r="A210" t="s">
        <v>275</v>
      </c>
      <c r="B210" s="4" t="s">
        <v>273</v>
      </c>
      <c r="C210">
        <v>12</v>
      </c>
      <c r="D210" t="s">
        <v>45</v>
      </c>
      <c r="E210" s="7">
        <v>-5</v>
      </c>
      <c r="F210">
        <v>-250</v>
      </c>
      <c r="G210">
        <v>3</v>
      </c>
      <c r="I210" t="s">
        <v>46</v>
      </c>
      <c r="J210">
        <v>1</v>
      </c>
      <c r="K210">
        <v>4</v>
      </c>
    </row>
    <row r="211" spans="1:11" x14ac:dyDescent="0.35">
      <c r="A211" t="s">
        <v>276</v>
      </c>
      <c r="B211" s="4" t="s">
        <v>277</v>
      </c>
      <c r="C211">
        <v>12</v>
      </c>
      <c r="D211" t="s">
        <v>45</v>
      </c>
      <c r="E211" s="7">
        <v>-3</v>
      </c>
      <c r="F211">
        <v>-150</v>
      </c>
      <c r="G211">
        <v>3</v>
      </c>
      <c r="I211" t="s">
        <v>46</v>
      </c>
      <c r="J211">
        <v>1</v>
      </c>
      <c r="K211">
        <v>1</v>
      </c>
    </row>
    <row r="212" spans="1:11" x14ac:dyDescent="0.35">
      <c r="A212" t="s">
        <v>278</v>
      </c>
      <c r="B212" s="4" t="s">
        <v>279</v>
      </c>
      <c r="C212">
        <v>34</v>
      </c>
      <c r="D212" t="s">
        <v>71</v>
      </c>
      <c r="E212" s="7">
        <v>26</v>
      </c>
      <c r="F212">
        <v>1300</v>
      </c>
      <c r="G212">
        <v>4</v>
      </c>
      <c r="H212">
        <v>4</v>
      </c>
      <c r="I212" t="s">
        <v>72</v>
      </c>
      <c r="J212">
        <v>1</v>
      </c>
      <c r="K212">
        <v>178</v>
      </c>
    </row>
    <row r="213" spans="1:11" x14ac:dyDescent="0.35">
      <c r="A213" t="s">
        <v>280</v>
      </c>
      <c r="B213" s="4" t="s">
        <v>279</v>
      </c>
      <c r="C213">
        <v>33</v>
      </c>
      <c r="D213" t="s">
        <v>71</v>
      </c>
      <c r="E213" s="7">
        <v>48</v>
      </c>
      <c r="F213">
        <v>2400</v>
      </c>
      <c r="G213">
        <v>4</v>
      </c>
      <c r="H213">
        <v>4</v>
      </c>
      <c r="I213" t="s">
        <v>72</v>
      </c>
      <c r="J213">
        <v>1</v>
      </c>
      <c r="K213">
        <v>181</v>
      </c>
    </row>
    <row r="214" spans="1:11" x14ac:dyDescent="0.35">
      <c r="A214" t="s">
        <v>281</v>
      </c>
      <c r="B214" s="4" t="s">
        <v>282</v>
      </c>
      <c r="C214">
        <v>13</v>
      </c>
      <c r="D214" t="s">
        <v>71</v>
      </c>
      <c r="E214" s="7">
        <v>37</v>
      </c>
      <c r="F214">
        <v>1850</v>
      </c>
      <c r="G214">
        <v>4</v>
      </c>
      <c r="H214">
        <v>2</v>
      </c>
      <c r="I214" t="s">
        <v>72</v>
      </c>
      <c r="J214">
        <v>1</v>
      </c>
      <c r="K214">
        <v>137</v>
      </c>
    </row>
    <row r="215" spans="1:11" x14ac:dyDescent="0.35">
      <c r="A215" t="s">
        <v>283</v>
      </c>
      <c r="B215" s="4" t="s">
        <v>282</v>
      </c>
      <c r="C215">
        <v>24</v>
      </c>
      <c r="D215" t="s">
        <v>71</v>
      </c>
      <c r="E215" s="7">
        <v>29</v>
      </c>
      <c r="F215">
        <v>1450</v>
      </c>
      <c r="G215">
        <v>4</v>
      </c>
      <c r="H215">
        <v>3</v>
      </c>
      <c r="I215" t="s">
        <v>72</v>
      </c>
      <c r="J215">
        <v>1</v>
      </c>
      <c r="K215">
        <v>193</v>
      </c>
    </row>
    <row r="216" spans="1:11" x14ac:dyDescent="0.35">
      <c r="A216" t="s">
        <v>284</v>
      </c>
      <c r="B216" s="4" t="s">
        <v>285</v>
      </c>
      <c r="C216">
        <v>5</v>
      </c>
      <c r="D216" t="s">
        <v>71</v>
      </c>
      <c r="E216" s="7">
        <v>26</v>
      </c>
      <c r="F216">
        <v>1300</v>
      </c>
      <c r="G216">
        <v>4</v>
      </c>
      <c r="H216">
        <v>3</v>
      </c>
      <c r="I216" t="s">
        <v>72</v>
      </c>
      <c r="J216">
        <v>1</v>
      </c>
      <c r="K216">
        <v>26</v>
      </c>
    </row>
    <row r="217" spans="1:11" x14ac:dyDescent="0.35">
      <c r="A217" t="s">
        <v>286</v>
      </c>
      <c r="B217" s="4" t="s">
        <v>285</v>
      </c>
      <c r="C217">
        <v>10</v>
      </c>
      <c r="D217" t="s">
        <v>71</v>
      </c>
      <c r="E217" s="7">
        <v>36</v>
      </c>
      <c r="F217">
        <v>1800</v>
      </c>
      <c r="G217">
        <v>4</v>
      </c>
      <c r="H217">
        <v>3</v>
      </c>
      <c r="I217" t="s">
        <v>72</v>
      </c>
      <c r="J217">
        <v>1</v>
      </c>
      <c r="K217">
        <v>38</v>
      </c>
    </row>
    <row r="218" spans="1:11" x14ac:dyDescent="0.35">
      <c r="A218" t="s">
        <v>287</v>
      </c>
      <c r="B218" s="4" t="s">
        <v>285</v>
      </c>
      <c r="C218">
        <v>1</v>
      </c>
      <c r="D218" t="s">
        <v>71</v>
      </c>
      <c r="E218" s="7">
        <v>53</v>
      </c>
      <c r="F218">
        <v>2650</v>
      </c>
      <c r="G218">
        <v>4</v>
      </c>
      <c r="H218">
        <v>1</v>
      </c>
      <c r="I218" t="s">
        <v>72</v>
      </c>
      <c r="J218">
        <v>1</v>
      </c>
      <c r="K218">
        <v>53</v>
      </c>
    </row>
    <row r="219" spans="1:11" x14ac:dyDescent="0.35">
      <c r="A219" t="s">
        <v>288</v>
      </c>
      <c r="B219" s="4" t="s">
        <v>285</v>
      </c>
      <c r="C219">
        <v>1</v>
      </c>
      <c r="D219" t="s">
        <v>45</v>
      </c>
      <c r="E219" s="7">
        <v>-10</v>
      </c>
      <c r="F219">
        <v>-250</v>
      </c>
      <c r="G219">
        <v>1</v>
      </c>
      <c r="I219" t="s">
        <v>46</v>
      </c>
      <c r="J219">
        <v>1</v>
      </c>
      <c r="K219">
        <v>43</v>
      </c>
    </row>
    <row r="220" spans="1:11" x14ac:dyDescent="0.35">
      <c r="A220" t="s">
        <v>289</v>
      </c>
      <c r="B220" s="4" t="s">
        <v>285</v>
      </c>
      <c r="C220">
        <v>1</v>
      </c>
      <c r="D220" t="s">
        <v>45</v>
      </c>
      <c r="E220" s="7">
        <v>-16</v>
      </c>
      <c r="F220">
        <v>-400</v>
      </c>
      <c r="G220">
        <v>2</v>
      </c>
      <c r="I220" t="s">
        <v>54</v>
      </c>
      <c r="J220">
        <v>1</v>
      </c>
      <c r="K220">
        <v>27</v>
      </c>
    </row>
    <row r="221" spans="1:11" x14ac:dyDescent="0.35">
      <c r="A221" t="s">
        <v>290</v>
      </c>
      <c r="B221" s="4" t="s">
        <v>285</v>
      </c>
      <c r="C221">
        <v>5</v>
      </c>
      <c r="D221" t="s">
        <v>45</v>
      </c>
      <c r="E221" s="7">
        <v>-8</v>
      </c>
      <c r="F221">
        <v>-400</v>
      </c>
      <c r="G221">
        <v>2</v>
      </c>
      <c r="I221" t="s">
        <v>46</v>
      </c>
      <c r="J221">
        <v>1</v>
      </c>
      <c r="K221">
        <v>18</v>
      </c>
    </row>
    <row r="222" spans="1:11" x14ac:dyDescent="0.35">
      <c r="A222" t="s">
        <v>291</v>
      </c>
      <c r="B222" s="4" t="s">
        <v>285</v>
      </c>
      <c r="C222">
        <v>10</v>
      </c>
      <c r="D222" t="s">
        <v>45</v>
      </c>
      <c r="E222" s="7">
        <v>-7</v>
      </c>
      <c r="F222">
        <v>-350</v>
      </c>
      <c r="G222">
        <v>2</v>
      </c>
      <c r="I222" t="s">
        <v>46</v>
      </c>
      <c r="J222">
        <v>1</v>
      </c>
      <c r="K222">
        <v>31</v>
      </c>
    </row>
    <row r="223" spans="1:11" x14ac:dyDescent="0.35">
      <c r="A223" t="s">
        <v>292</v>
      </c>
      <c r="B223" s="4" t="s">
        <v>285</v>
      </c>
      <c r="C223">
        <v>1</v>
      </c>
      <c r="D223" t="s">
        <v>45</v>
      </c>
      <c r="E223" s="7">
        <v>-16</v>
      </c>
      <c r="F223">
        <v>-400</v>
      </c>
      <c r="G223">
        <v>3</v>
      </c>
      <c r="I223" t="s">
        <v>62</v>
      </c>
      <c r="J223">
        <v>1</v>
      </c>
      <c r="K223">
        <v>11</v>
      </c>
    </row>
    <row r="224" spans="1:11" x14ac:dyDescent="0.35">
      <c r="A224" t="s">
        <v>293</v>
      </c>
      <c r="B224" s="4" t="s">
        <v>294</v>
      </c>
      <c r="C224">
        <v>5</v>
      </c>
      <c r="D224" t="s">
        <v>45</v>
      </c>
      <c r="E224" s="7">
        <v>-10</v>
      </c>
      <c r="F224">
        <v>-500</v>
      </c>
      <c r="G224">
        <v>1</v>
      </c>
      <c r="I224" t="s">
        <v>46</v>
      </c>
      <c r="J224">
        <v>1</v>
      </c>
      <c r="K224">
        <v>8</v>
      </c>
    </row>
    <row r="225" spans="1:11" x14ac:dyDescent="0.35">
      <c r="A225" t="s">
        <v>295</v>
      </c>
      <c r="B225" s="4" t="s">
        <v>294</v>
      </c>
      <c r="C225">
        <v>10</v>
      </c>
      <c r="D225" t="s">
        <v>45</v>
      </c>
      <c r="E225" s="7">
        <v>-4</v>
      </c>
      <c r="F225">
        <v>-200</v>
      </c>
      <c r="G225">
        <v>1</v>
      </c>
      <c r="I225" t="s">
        <v>46</v>
      </c>
      <c r="J225">
        <v>1</v>
      </c>
      <c r="K225">
        <v>27</v>
      </c>
    </row>
    <row r="226" spans="1:11" x14ac:dyDescent="0.35">
      <c r="A226" t="s">
        <v>296</v>
      </c>
      <c r="B226" s="4" t="s">
        <v>294</v>
      </c>
      <c r="C226">
        <v>5</v>
      </c>
      <c r="D226" t="s">
        <v>45</v>
      </c>
      <c r="E226" s="7">
        <v>-8</v>
      </c>
      <c r="F226">
        <v>-400</v>
      </c>
      <c r="G226">
        <v>2</v>
      </c>
      <c r="I226" t="s">
        <v>46</v>
      </c>
      <c r="J226">
        <v>1</v>
      </c>
      <c r="K226">
        <v>0</v>
      </c>
    </row>
    <row r="227" spans="1:11" x14ac:dyDescent="0.35">
      <c r="A227" t="s">
        <v>297</v>
      </c>
      <c r="B227" s="4" t="s">
        <v>294</v>
      </c>
      <c r="C227">
        <v>10</v>
      </c>
      <c r="D227" t="s">
        <v>45</v>
      </c>
      <c r="E227" s="7">
        <v>-6</v>
      </c>
      <c r="F227">
        <v>-300</v>
      </c>
      <c r="G227">
        <v>3</v>
      </c>
      <c r="I227" t="s">
        <v>46</v>
      </c>
      <c r="J227">
        <v>1</v>
      </c>
      <c r="K227">
        <v>21</v>
      </c>
    </row>
    <row r="228" spans="1:11" x14ac:dyDescent="0.35">
      <c r="A228" t="s">
        <v>298</v>
      </c>
      <c r="B228" s="4" t="s">
        <v>299</v>
      </c>
      <c r="C228">
        <v>10</v>
      </c>
      <c r="D228" t="s">
        <v>45</v>
      </c>
      <c r="E228" s="7">
        <v>-4</v>
      </c>
      <c r="F228">
        <v>-200</v>
      </c>
      <c r="G228">
        <v>1</v>
      </c>
      <c r="I228" t="s">
        <v>46</v>
      </c>
      <c r="J228">
        <v>1</v>
      </c>
      <c r="K228">
        <v>17</v>
      </c>
    </row>
    <row r="229" spans="1:11" x14ac:dyDescent="0.35">
      <c r="A229" t="s">
        <v>300</v>
      </c>
      <c r="B229" s="4" t="s">
        <v>299</v>
      </c>
      <c r="C229">
        <v>1</v>
      </c>
      <c r="D229" t="s">
        <v>45</v>
      </c>
      <c r="E229" s="7">
        <v>-11</v>
      </c>
      <c r="F229">
        <v>-275</v>
      </c>
      <c r="G229">
        <v>2</v>
      </c>
      <c r="I229" t="s">
        <v>54</v>
      </c>
      <c r="J229">
        <v>1</v>
      </c>
      <c r="K229">
        <v>0</v>
      </c>
    </row>
    <row r="230" spans="1:11" x14ac:dyDescent="0.35">
      <c r="A230" t="s">
        <v>301</v>
      </c>
      <c r="B230" s="4" t="s">
        <v>299</v>
      </c>
      <c r="C230">
        <v>10</v>
      </c>
      <c r="D230" t="s">
        <v>45</v>
      </c>
      <c r="E230" s="7">
        <v>-7</v>
      </c>
      <c r="F230">
        <v>-350</v>
      </c>
      <c r="G230">
        <v>2</v>
      </c>
      <c r="I230" t="s">
        <v>46</v>
      </c>
      <c r="J230">
        <v>1</v>
      </c>
      <c r="K230">
        <v>10</v>
      </c>
    </row>
    <row r="231" spans="1:11" x14ac:dyDescent="0.35">
      <c r="A231" t="s">
        <v>302</v>
      </c>
      <c r="B231" s="4" t="s">
        <v>303</v>
      </c>
      <c r="C231">
        <v>10</v>
      </c>
      <c r="D231" t="s">
        <v>45</v>
      </c>
      <c r="E231" s="7">
        <v>-6</v>
      </c>
      <c r="F231">
        <v>-300</v>
      </c>
      <c r="G231">
        <v>2</v>
      </c>
      <c r="I231" t="s">
        <v>46</v>
      </c>
      <c r="J231">
        <v>1</v>
      </c>
      <c r="K231">
        <v>4</v>
      </c>
    </row>
    <row r="232" spans="1:11" x14ac:dyDescent="0.35">
      <c r="A232" t="s">
        <v>304</v>
      </c>
      <c r="B232" s="4" t="s">
        <v>305</v>
      </c>
      <c r="C232">
        <v>10</v>
      </c>
      <c r="D232" t="s">
        <v>45</v>
      </c>
      <c r="E232" s="7">
        <v>-4</v>
      </c>
      <c r="F232">
        <v>-200</v>
      </c>
      <c r="G232">
        <v>1</v>
      </c>
      <c r="I232" t="s">
        <v>46</v>
      </c>
      <c r="J232">
        <v>1</v>
      </c>
      <c r="K232">
        <v>0</v>
      </c>
    </row>
    <row r="233" spans="1:11" x14ac:dyDescent="0.35">
      <c r="A233" t="s">
        <v>306</v>
      </c>
      <c r="B233" s="4" t="s">
        <v>307</v>
      </c>
      <c r="C233">
        <v>12</v>
      </c>
      <c r="D233" t="s">
        <v>71</v>
      </c>
      <c r="E233" s="7">
        <v>45</v>
      </c>
      <c r="F233">
        <v>2250</v>
      </c>
      <c r="G233">
        <v>4</v>
      </c>
      <c r="H233">
        <v>3</v>
      </c>
      <c r="I233" t="s">
        <v>72</v>
      </c>
      <c r="J233">
        <v>1</v>
      </c>
      <c r="K233">
        <v>46</v>
      </c>
    </row>
    <row r="234" spans="1:11" x14ac:dyDescent="0.35">
      <c r="A234" t="s">
        <v>308</v>
      </c>
      <c r="B234" s="4" t="s">
        <v>307</v>
      </c>
      <c r="C234">
        <v>15</v>
      </c>
      <c r="D234" t="s">
        <v>71</v>
      </c>
      <c r="E234" s="7">
        <v>36</v>
      </c>
      <c r="F234">
        <v>1800</v>
      </c>
      <c r="G234">
        <v>4</v>
      </c>
      <c r="H234">
        <v>1</v>
      </c>
      <c r="I234" t="s">
        <v>72</v>
      </c>
      <c r="J234">
        <v>1</v>
      </c>
      <c r="K234">
        <v>136</v>
      </c>
    </row>
    <row r="235" spans="1:11" x14ac:dyDescent="0.35">
      <c r="A235" t="s">
        <v>309</v>
      </c>
      <c r="B235" s="4" t="s">
        <v>307</v>
      </c>
      <c r="C235">
        <v>12</v>
      </c>
      <c r="D235" t="s">
        <v>45</v>
      </c>
      <c r="E235" s="7">
        <v>-9</v>
      </c>
      <c r="F235">
        <v>-450</v>
      </c>
      <c r="G235">
        <v>3</v>
      </c>
      <c r="I235" t="s">
        <v>46</v>
      </c>
      <c r="J235">
        <v>1</v>
      </c>
      <c r="K235">
        <v>37</v>
      </c>
    </row>
    <row r="236" spans="1:11" x14ac:dyDescent="0.35">
      <c r="A236" t="s">
        <v>310</v>
      </c>
      <c r="B236" s="4" t="s">
        <v>311</v>
      </c>
      <c r="C236">
        <v>26</v>
      </c>
      <c r="D236" t="s">
        <v>71</v>
      </c>
      <c r="E236" s="7">
        <v>33</v>
      </c>
      <c r="F236">
        <v>1650</v>
      </c>
      <c r="G236">
        <v>4</v>
      </c>
      <c r="H236">
        <v>4</v>
      </c>
      <c r="I236" t="s">
        <v>72</v>
      </c>
      <c r="J236">
        <v>1</v>
      </c>
      <c r="K236">
        <v>167</v>
      </c>
    </row>
    <row r="237" spans="1:11" x14ac:dyDescent="0.35">
      <c r="A237" t="s">
        <v>312</v>
      </c>
      <c r="B237" s="4" t="s">
        <v>311</v>
      </c>
      <c r="C237">
        <v>5</v>
      </c>
      <c r="D237" t="s">
        <v>71</v>
      </c>
      <c r="E237" s="7">
        <v>41</v>
      </c>
      <c r="F237">
        <v>2050</v>
      </c>
      <c r="G237">
        <v>4</v>
      </c>
      <c r="H237">
        <v>3</v>
      </c>
      <c r="I237" t="s">
        <v>72</v>
      </c>
      <c r="J237">
        <v>1</v>
      </c>
      <c r="K237">
        <v>41</v>
      </c>
    </row>
    <row r="238" spans="1:11" x14ac:dyDescent="0.35">
      <c r="A238" t="s">
        <v>313</v>
      </c>
      <c r="B238" s="4" t="s">
        <v>311</v>
      </c>
      <c r="C238">
        <v>4</v>
      </c>
      <c r="D238" t="s">
        <v>71</v>
      </c>
      <c r="E238" s="7">
        <v>50</v>
      </c>
      <c r="F238">
        <v>2500</v>
      </c>
      <c r="G238">
        <v>4</v>
      </c>
      <c r="H238">
        <v>3</v>
      </c>
      <c r="I238" t="s">
        <v>72</v>
      </c>
      <c r="J238">
        <v>1</v>
      </c>
      <c r="K238">
        <v>50</v>
      </c>
    </row>
    <row r="239" spans="1:11" x14ac:dyDescent="0.35">
      <c r="A239" t="s">
        <v>314</v>
      </c>
      <c r="B239" s="4" t="s">
        <v>311</v>
      </c>
      <c r="C239">
        <v>4</v>
      </c>
      <c r="D239" t="s">
        <v>45</v>
      </c>
      <c r="E239" s="7">
        <v>-6</v>
      </c>
      <c r="F239">
        <v>-300</v>
      </c>
      <c r="G239">
        <v>1</v>
      </c>
      <c r="I239" t="s">
        <v>46</v>
      </c>
      <c r="J239">
        <v>1</v>
      </c>
      <c r="K239">
        <v>44</v>
      </c>
    </row>
    <row r="240" spans="1:11" x14ac:dyDescent="0.35">
      <c r="A240" t="s">
        <v>315</v>
      </c>
      <c r="B240" s="4" t="s">
        <v>311</v>
      </c>
      <c r="C240">
        <v>12</v>
      </c>
      <c r="D240" t="s">
        <v>45</v>
      </c>
      <c r="E240" s="7">
        <v>-4</v>
      </c>
      <c r="F240">
        <v>-200</v>
      </c>
      <c r="G240">
        <v>1</v>
      </c>
      <c r="I240" t="s">
        <v>46</v>
      </c>
      <c r="J240">
        <v>1</v>
      </c>
      <c r="K240">
        <v>33</v>
      </c>
    </row>
    <row r="241" spans="1:11" x14ac:dyDescent="0.35">
      <c r="A241" t="s">
        <v>316</v>
      </c>
      <c r="B241" s="4" t="s">
        <v>311</v>
      </c>
      <c r="C241">
        <v>4</v>
      </c>
      <c r="D241" t="s">
        <v>45</v>
      </c>
      <c r="E241" s="7">
        <v>-7</v>
      </c>
      <c r="F241">
        <v>-350</v>
      </c>
      <c r="G241">
        <v>2</v>
      </c>
      <c r="I241" t="s">
        <v>46</v>
      </c>
      <c r="J241">
        <v>1</v>
      </c>
      <c r="K241">
        <v>37</v>
      </c>
    </row>
    <row r="242" spans="1:11" x14ac:dyDescent="0.35">
      <c r="A242" t="s">
        <v>317</v>
      </c>
      <c r="B242" s="4" t="s">
        <v>311</v>
      </c>
      <c r="C242">
        <v>4</v>
      </c>
      <c r="D242" t="s">
        <v>45</v>
      </c>
      <c r="E242" s="7">
        <v>-9</v>
      </c>
      <c r="F242">
        <v>-450</v>
      </c>
      <c r="G242">
        <v>3</v>
      </c>
      <c r="I242" t="s">
        <v>46</v>
      </c>
      <c r="J242">
        <v>1</v>
      </c>
      <c r="K242">
        <v>28</v>
      </c>
    </row>
    <row r="243" spans="1:11" x14ac:dyDescent="0.35">
      <c r="A243" t="s">
        <v>318</v>
      </c>
      <c r="B243" s="4" t="s">
        <v>311</v>
      </c>
      <c r="C243">
        <v>5</v>
      </c>
      <c r="D243" t="s">
        <v>45</v>
      </c>
      <c r="E243" s="7">
        <v>-6</v>
      </c>
      <c r="F243">
        <v>-300</v>
      </c>
      <c r="G243">
        <v>3</v>
      </c>
      <c r="I243" t="s">
        <v>46</v>
      </c>
      <c r="J243">
        <v>1</v>
      </c>
      <c r="K243">
        <v>35</v>
      </c>
    </row>
    <row r="244" spans="1:11" x14ac:dyDescent="0.35">
      <c r="A244" t="s">
        <v>319</v>
      </c>
      <c r="B244" s="4" t="s">
        <v>320</v>
      </c>
      <c r="C244">
        <v>4</v>
      </c>
      <c r="D244" t="s">
        <v>71</v>
      </c>
      <c r="E244" s="7">
        <v>24</v>
      </c>
      <c r="F244">
        <v>1200</v>
      </c>
      <c r="G244">
        <v>4</v>
      </c>
      <c r="H244">
        <v>3</v>
      </c>
      <c r="I244" t="s">
        <v>72</v>
      </c>
      <c r="J244">
        <v>1</v>
      </c>
      <c r="K244">
        <v>52</v>
      </c>
    </row>
    <row r="245" spans="1:11" x14ac:dyDescent="0.35">
      <c r="A245" t="s">
        <v>321</v>
      </c>
      <c r="B245" s="4" t="s">
        <v>320</v>
      </c>
      <c r="C245">
        <v>15</v>
      </c>
      <c r="D245" t="s">
        <v>71</v>
      </c>
      <c r="E245" s="7">
        <v>26</v>
      </c>
      <c r="F245">
        <v>1300</v>
      </c>
      <c r="G245">
        <v>4</v>
      </c>
      <c r="H245">
        <v>1</v>
      </c>
      <c r="I245" t="s">
        <v>72</v>
      </c>
      <c r="J245">
        <v>1</v>
      </c>
      <c r="K245">
        <v>162</v>
      </c>
    </row>
    <row r="246" spans="1:11" x14ac:dyDescent="0.35">
      <c r="A246" t="s">
        <v>322</v>
      </c>
      <c r="B246" s="4" t="s">
        <v>320</v>
      </c>
      <c r="C246">
        <v>4</v>
      </c>
      <c r="D246" t="s">
        <v>45</v>
      </c>
      <c r="E246" s="7">
        <v>-6</v>
      </c>
      <c r="F246">
        <v>-300</v>
      </c>
      <c r="G246">
        <v>1</v>
      </c>
      <c r="I246" t="s">
        <v>46</v>
      </c>
      <c r="J246">
        <v>1</v>
      </c>
      <c r="K246">
        <v>46</v>
      </c>
    </row>
    <row r="247" spans="1:11" x14ac:dyDescent="0.35">
      <c r="A247" t="s">
        <v>323</v>
      </c>
      <c r="B247" s="4" t="s">
        <v>320</v>
      </c>
      <c r="C247">
        <v>5</v>
      </c>
      <c r="D247" t="s">
        <v>45</v>
      </c>
      <c r="E247" s="7">
        <v>-9</v>
      </c>
      <c r="F247">
        <v>-450</v>
      </c>
      <c r="G247">
        <v>1</v>
      </c>
      <c r="I247" t="s">
        <v>46</v>
      </c>
      <c r="J247">
        <v>1</v>
      </c>
      <c r="K247">
        <v>26</v>
      </c>
    </row>
    <row r="248" spans="1:11" x14ac:dyDescent="0.35">
      <c r="A248" t="s">
        <v>324</v>
      </c>
      <c r="B248" s="4" t="s">
        <v>320</v>
      </c>
      <c r="C248">
        <v>12</v>
      </c>
      <c r="D248" t="s">
        <v>45</v>
      </c>
      <c r="E248" s="7">
        <v>-6</v>
      </c>
      <c r="F248">
        <v>-300</v>
      </c>
      <c r="G248">
        <v>1</v>
      </c>
      <c r="I248" t="s">
        <v>46</v>
      </c>
      <c r="J248">
        <v>1</v>
      </c>
      <c r="K248">
        <v>27</v>
      </c>
    </row>
    <row r="249" spans="1:11" x14ac:dyDescent="0.35">
      <c r="A249" t="s">
        <v>325</v>
      </c>
      <c r="B249" s="4" t="s">
        <v>320</v>
      </c>
      <c r="C249">
        <v>12</v>
      </c>
      <c r="D249" t="s">
        <v>45</v>
      </c>
      <c r="E249" s="7">
        <v>-8</v>
      </c>
      <c r="F249">
        <v>-400</v>
      </c>
      <c r="G249">
        <v>2</v>
      </c>
      <c r="I249" t="s">
        <v>46</v>
      </c>
      <c r="J249">
        <v>1</v>
      </c>
      <c r="K249">
        <v>19</v>
      </c>
    </row>
    <row r="250" spans="1:11" x14ac:dyDescent="0.35">
      <c r="A250" t="s">
        <v>326</v>
      </c>
      <c r="B250" s="4" t="s">
        <v>320</v>
      </c>
      <c r="C250">
        <v>5</v>
      </c>
      <c r="D250" t="s">
        <v>45</v>
      </c>
      <c r="E250" s="7">
        <v>-7</v>
      </c>
      <c r="F250">
        <v>-350</v>
      </c>
      <c r="G250">
        <v>3</v>
      </c>
      <c r="I250" t="s">
        <v>46</v>
      </c>
      <c r="J250">
        <v>1</v>
      </c>
      <c r="K250">
        <v>19</v>
      </c>
    </row>
    <row r="251" spans="1:11" x14ac:dyDescent="0.35">
      <c r="A251" t="s">
        <v>327</v>
      </c>
      <c r="B251" s="4" t="s">
        <v>320</v>
      </c>
      <c r="C251">
        <v>12</v>
      </c>
      <c r="D251" t="s">
        <v>45</v>
      </c>
      <c r="E251" s="7">
        <v>-6</v>
      </c>
      <c r="F251">
        <v>-300</v>
      </c>
      <c r="G251">
        <v>3</v>
      </c>
      <c r="I251" t="s">
        <v>46</v>
      </c>
      <c r="J251">
        <v>1</v>
      </c>
      <c r="K251">
        <v>13</v>
      </c>
    </row>
    <row r="252" spans="1:11" x14ac:dyDescent="0.35">
      <c r="A252" t="s">
        <v>328</v>
      </c>
      <c r="B252" s="4" t="s">
        <v>329</v>
      </c>
      <c r="C252">
        <v>4</v>
      </c>
      <c r="D252" t="s">
        <v>45</v>
      </c>
      <c r="E252" s="7">
        <v>-8</v>
      </c>
      <c r="F252">
        <v>-400</v>
      </c>
      <c r="G252">
        <v>1</v>
      </c>
      <c r="I252" t="s">
        <v>46</v>
      </c>
      <c r="J252">
        <v>1</v>
      </c>
      <c r="K252">
        <v>38</v>
      </c>
    </row>
    <row r="253" spans="1:11" x14ac:dyDescent="0.35">
      <c r="A253" t="s">
        <v>330</v>
      </c>
      <c r="B253" s="4" t="s">
        <v>329</v>
      </c>
      <c r="C253">
        <v>5</v>
      </c>
      <c r="D253" t="s">
        <v>45</v>
      </c>
      <c r="E253" s="7">
        <v>-6</v>
      </c>
      <c r="F253">
        <v>-300</v>
      </c>
      <c r="G253">
        <v>1</v>
      </c>
      <c r="I253" t="s">
        <v>46</v>
      </c>
      <c r="J253">
        <v>1</v>
      </c>
      <c r="K253">
        <v>13</v>
      </c>
    </row>
    <row r="254" spans="1:11" x14ac:dyDescent="0.35">
      <c r="A254" t="s">
        <v>331</v>
      </c>
      <c r="B254" s="4" t="s">
        <v>329</v>
      </c>
      <c r="C254">
        <v>12</v>
      </c>
      <c r="D254" t="s">
        <v>45</v>
      </c>
      <c r="E254" s="7">
        <v>-5</v>
      </c>
      <c r="F254">
        <v>-250</v>
      </c>
      <c r="G254">
        <v>1</v>
      </c>
      <c r="I254" t="s">
        <v>46</v>
      </c>
      <c r="J254">
        <v>1</v>
      </c>
      <c r="K254">
        <v>8</v>
      </c>
    </row>
    <row r="255" spans="1:11" x14ac:dyDescent="0.35">
      <c r="A255" t="s">
        <v>332</v>
      </c>
      <c r="B255" s="4" t="s">
        <v>329</v>
      </c>
      <c r="C255">
        <v>4</v>
      </c>
      <c r="D255" t="s">
        <v>45</v>
      </c>
      <c r="E255" s="7">
        <v>-6</v>
      </c>
      <c r="F255">
        <v>-300</v>
      </c>
      <c r="G255">
        <v>2</v>
      </c>
      <c r="I255" t="s">
        <v>46</v>
      </c>
      <c r="J255">
        <v>1</v>
      </c>
      <c r="K255">
        <v>32</v>
      </c>
    </row>
    <row r="256" spans="1:11" x14ac:dyDescent="0.35">
      <c r="A256" t="s">
        <v>333</v>
      </c>
      <c r="B256" s="4" t="s">
        <v>329</v>
      </c>
      <c r="C256">
        <v>5</v>
      </c>
      <c r="D256" t="s">
        <v>45</v>
      </c>
      <c r="E256" s="7">
        <v>-8</v>
      </c>
      <c r="F256">
        <v>-400</v>
      </c>
      <c r="G256">
        <v>3</v>
      </c>
      <c r="I256" t="s">
        <v>46</v>
      </c>
      <c r="J256">
        <v>1</v>
      </c>
      <c r="K256">
        <v>5</v>
      </c>
    </row>
    <row r="257" spans="1:11" x14ac:dyDescent="0.35">
      <c r="A257" t="s">
        <v>334</v>
      </c>
      <c r="B257" s="4" t="s">
        <v>329</v>
      </c>
      <c r="C257">
        <v>12</v>
      </c>
      <c r="D257" t="s">
        <v>45</v>
      </c>
      <c r="E257" s="7">
        <v>-8</v>
      </c>
      <c r="F257">
        <v>-400</v>
      </c>
      <c r="G257">
        <v>3</v>
      </c>
      <c r="I257" t="s">
        <v>46</v>
      </c>
      <c r="J257">
        <v>1</v>
      </c>
      <c r="K257">
        <v>0</v>
      </c>
    </row>
    <row r="258" spans="1:11" x14ac:dyDescent="0.35">
      <c r="A258" t="s">
        <v>335</v>
      </c>
      <c r="B258" s="4" t="s">
        <v>336</v>
      </c>
      <c r="C258">
        <v>4</v>
      </c>
      <c r="D258" t="s">
        <v>45</v>
      </c>
      <c r="E258" s="7">
        <v>-8</v>
      </c>
      <c r="F258">
        <v>-400</v>
      </c>
      <c r="G258">
        <v>2</v>
      </c>
      <c r="I258" t="s">
        <v>46</v>
      </c>
      <c r="J258">
        <v>1</v>
      </c>
      <c r="K258">
        <v>24</v>
      </c>
    </row>
    <row r="259" spans="1:11" x14ac:dyDescent="0.35">
      <c r="A259" t="s">
        <v>337</v>
      </c>
      <c r="B259" s="4" t="s">
        <v>336</v>
      </c>
      <c r="C259">
        <v>4</v>
      </c>
      <c r="D259" t="s">
        <v>45</v>
      </c>
      <c r="E259" s="7">
        <v>-7</v>
      </c>
      <c r="F259">
        <v>-350</v>
      </c>
      <c r="G259">
        <v>3</v>
      </c>
      <c r="I259" t="s">
        <v>46</v>
      </c>
      <c r="J259">
        <v>1</v>
      </c>
      <c r="K259">
        <v>17</v>
      </c>
    </row>
    <row r="260" spans="1:11" x14ac:dyDescent="0.35">
      <c r="A260" t="s">
        <v>338</v>
      </c>
      <c r="B260" s="4" t="s">
        <v>339</v>
      </c>
      <c r="C260">
        <v>4</v>
      </c>
      <c r="D260" t="s">
        <v>45</v>
      </c>
      <c r="E260" s="7">
        <v>-4</v>
      </c>
      <c r="F260">
        <v>-200</v>
      </c>
      <c r="G260">
        <v>1</v>
      </c>
      <c r="I260" t="s">
        <v>46</v>
      </c>
      <c r="J260">
        <v>1</v>
      </c>
      <c r="K260">
        <v>13</v>
      </c>
    </row>
    <row r="261" spans="1:11" x14ac:dyDescent="0.35">
      <c r="A261" t="s">
        <v>340</v>
      </c>
      <c r="B261" s="4" t="s">
        <v>339</v>
      </c>
      <c r="C261">
        <v>5</v>
      </c>
      <c r="D261" t="s">
        <v>45</v>
      </c>
      <c r="E261" s="7">
        <v>-5</v>
      </c>
      <c r="F261">
        <v>-250</v>
      </c>
      <c r="G261">
        <v>1</v>
      </c>
      <c r="I261" t="s">
        <v>46</v>
      </c>
      <c r="J261">
        <v>1</v>
      </c>
      <c r="K261">
        <v>0</v>
      </c>
    </row>
    <row r="262" spans="1:11" x14ac:dyDescent="0.35">
      <c r="A262" t="s">
        <v>341</v>
      </c>
      <c r="B262" s="4" t="s">
        <v>339</v>
      </c>
      <c r="C262">
        <v>4</v>
      </c>
      <c r="D262" t="s">
        <v>45</v>
      </c>
      <c r="E262" s="7">
        <v>-6</v>
      </c>
      <c r="F262">
        <v>-300</v>
      </c>
      <c r="G262">
        <v>2</v>
      </c>
      <c r="I262" t="s">
        <v>46</v>
      </c>
      <c r="J262">
        <v>1</v>
      </c>
      <c r="K262">
        <v>7</v>
      </c>
    </row>
    <row r="263" spans="1:11" x14ac:dyDescent="0.35">
      <c r="A263" t="s">
        <v>342</v>
      </c>
      <c r="B263" s="4" t="s">
        <v>339</v>
      </c>
      <c r="C263">
        <v>4</v>
      </c>
      <c r="D263" t="s">
        <v>45</v>
      </c>
      <c r="E263" s="7">
        <v>-6</v>
      </c>
      <c r="F263">
        <v>-300</v>
      </c>
      <c r="G263">
        <v>3</v>
      </c>
      <c r="I263" t="s">
        <v>46</v>
      </c>
      <c r="J263">
        <v>1</v>
      </c>
      <c r="K263">
        <v>1</v>
      </c>
    </row>
    <row r="264" spans="1:11" x14ac:dyDescent="0.35">
      <c r="A264" t="s">
        <v>343</v>
      </c>
      <c r="B264" s="4" t="s">
        <v>344</v>
      </c>
      <c r="C264">
        <v>6</v>
      </c>
      <c r="D264" t="s">
        <v>71</v>
      </c>
      <c r="E264" s="7">
        <v>38</v>
      </c>
      <c r="F264">
        <v>1900</v>
      </c>
      <c r="G264">
        <v>4</v>
      </c>
      <c r="H264">
        <v>4</v>
      </c>
      <c r="I264" t="s">
        <v>72</v>
      </c>
      <c r="J264">
        <v>1</v>
      </c>
      <c r="K264">
        <v>40</v>
      </c>
    </row>
    <row r="265" spans="1:11" x14ac:dyDescent="0.35">
      <c r="A265" t="s">
        <v>345</v>
      </c>
      <c r="B265" s="4" t="s">
        <v>344</v>
      </c>
      <c r="C265">
        <v>26</v>
      </c>
      <c r="D265" t="s">
        <v>71</v>
      </c>
      <c r="E265" s="7">
        <v>48</v>
      </c>
      <c r="F265">
        <v>2400</v>
      </c>
      <c r="G265">
        <v>4</v>
      </c>
      <c r="H265">
        <v>4</v>
      </c>
      <c r="I265" t="s">
        <v>72</v>
      </c>
      <c r="J265">
        <v>1</v>
      </c>
      <c r="K265">
        <v>215</v>
      </c>
    </row>
    <row r="266" spans="1:11" x14ac:dyDescent="0.35">
      <c r="A266" t="s">
        <v>346</v>
      </c>
      <c r="B266" s="4" t="s">
        <v>344</v>
      </c>
      <c r="C266">
        <v>3</v>
      </c>
      <c r="D266" t="s">
        <v>71</v>
      </c>
      <c r="E266" s="7">
        <v>66</v>
      </c>
      <c r="F266">
        <v>3300</v>
      </c>
      <c r="G266">
        <v>4</v>
      </c>
      <c r="H266">
        <v>2</v>
      </c>
      <c r="I266" t="s">
        <v>72</v>
      </c>
      <c r="J266">
        <v>1</v>
      </c>
      <c r="K266">
        <v>224</v>
      </c>
    </row>
    <row r="267" spans="1:11" x14ac:dyDescent="0.35">
      <c r="A267" t="s">
        <v>347</v>
      </c>
      <c r="B267" s="4" t="s">
        <v>344</v>
      </c>
      <c r="C267">
        <v>33</v>
      </c>
      <c r="D267" t="s">
        <v>71</v>
      </c>
      <c r="E267" s="7">
        <v>41</v>
      </c>
      <c r="F267">
        <v>2050</v>
      </c>
      <c r="G267">
        <v>4</v>
      </c>
      <c r="H267">
        <v>4</v>
      </c>
      <c r="I267" t="s">
        <v>72</v>
      </c>
      <c r="J267">
        <v>1</v>
      </c>
      <c r="K267">
        <v>222</v>
      </c>
    </row>
    <row r="268" spans="1:11" x14ac:dyDescent="0.35">
      <c r="A268" t="s">
        <v>348</v>
      </c>
      <c r="B268" s="4" t="s">
        <v>344</v>
      </c>
      <c r="C268">
        <v>6</v>
      </c>
      <c r="D268" t="s">
        <v>45</v>
      </c>
      <c r="E268" s="7">
        <v>-9</v>
      </c>
      <c r="F268">
        <v>-450</v>
      </c>
      <c r="G268">
        <v>1</v>
      </c>
      <c r="I268" t="s">
        <v>46</v>
      </c>
      <c r="J268">
        <v>1</v>
      </c>
      <c r="K268">
        <v>31</v>
      </c>
    </row>
    <row r="269" spans="1:11" x14ac:dyDescent="0.35">
      <c r="A269" t="s">
        <v>349</v>
      </c>
      <c r="B269" s="4" t="s">
        <v>344</v>
      </c>
      <c r="C269">
        <v>6</v>
      </c>
      <c r="D269" t="s">
        <v>45</v>
      </c>
      <c r="E269" s="7">
        <v>-8</v>
      </c>
      <c r="F269">
        <v>-400</v>
      </c>
      <c r="G269">
        <v>2</v>
      </c>
      <c r="I269" t="s">
        <v>46</v>
      </c>
      <c r="J269">
        <v>1</v>
      </c>
      <c r="K269">
        <v>23</v>
      </c>
    </row>
    <row r="270" spans="1:11" x14ac:dyDescent="0.35">
      <c r="A270" t="s">
        <v>350</v>
      </c>
      <c r="B270" s="4" t="s">
        <v>344</v>
      </c>
      <c r="C270">
        <v>6</v>
      </c>
      <c r="D270" t="s">
        <v>45</v>
      </c>
      <c r="E270" s="7">
        <v>-7</v>
      </c>
      <c r="F270">
        <v>-350</v>
      </c>
      <c r="G270">
        <v>3</v>
      </c>
      <c r="I270" t="s">
        <v>46</v>
      </c>
      <c r="J270">
        <v>1</v>
      </c>
      <c r="K270">
        <v>16</v>
      </c>
    </row>
    <row r="271" spans="1:11" x14ac:dyDescent="0.35">
      <c r="A271" t="s">
        <v>351</v>
      </c>
      <c r="B271" s="4" t="s">
        <v>352</v>
      </c>
      <c r="C271">
        <v>6</v>
      </c>
      <c r="D271" t="s">
        <v>45</v>
      </c>
      <c r="E271" s="7">
        <v>-8</v>
      </c>
      <c r="F271">
        <v>-400</v>
      </c>
      <c r="G271">
        <v>1</v>
      </c>
      <c r="I271" t="s">
        <v>46</v>
      </c>
      <c r="J271">
        <v>1</v>
      </c>
      <c r="K271">
        <v>8</v>
      </c>
    </row>
    <row r="272" spans="1:11" x14ac:dyDescent="0.35">
      <c r="A272" t="s">
        <v>353</v>
      </c>
      <c r="B272" s="4" t="s">
        <v>352</v>
      </c>
      <c r="C272">
        <v>6</v>
      </c>
      <c r="D272" t="s">
        <v>45</v>
      </c>
      <c r="E272" s="7">
        <v>-7</v>
      </c>
      <c r="F272">
        <v>-350</v>
      </c>
      <c r="G272">
        <v>3</v>
      </c>
      <c r="I272" t="s">
        <v>46</v>
      </c>
      <c r="J272">
        <v>1</v>
      </c>
      <c r="K272">
        <v>1</v>
      </c>
    </row>
    <row r="273" spans="1:11" x14ac:dyDescent="0.35">
      <c r="A273" t="s">
        <v>354</v>
      </c>
      <c r="B273" s="4" t="s">
        <v>355</v>
      </c>
      <c r="C273">
        <v>4</v>
      </c>
      <c r="D273" t="s">
        <v>71</v>
      </c>
      <c r="E273" s="7">
        <v>41</v>
      </c>
      <c r="F273">
        <v>2050</v>
      </c>
      <c r="G273">
        <v>4</v>
      </c>
      <c r="H273">
        <v>3</v>
      </c>
      <c r="I273" t="s">
        <v>72</v>
      </c>
      <c r="J273">
        <v>1</v>
      </c>
      <c r="K273">
        <v>42</v>
      </c>
    </row>
    <row r="274" spans="1:11" x14ac:dyDescent="0.35">
      <c r="A274" t="s">
        <v>356</v>
      </c>
      <c r="B274" s="4" t="s">
        <v>355</v>
      </c>
      <c r="C274">
        <v>26</v>
      </c>
      <c r="D274" t="s">
        <v>71</v>
      </c>
      <c r="E274" s="7">
        <v>24</v>
      </c>
      <c r="F274">
        <v>1200</v>
      </c>
      <c r="G274">
        <v>4</v>
      </c>
      <c r="H274">
        <v>4</v>
      </c>
      <c r="I274" t="s">
        <v>72</v>
      </c>
      <c r="J274">
        <v>1</v>
      </c>
      <c r="K274">
        <v>239</v>
      </c>
    </row>
    <row r="275" spans="1:11" x14ac:dyDescent="0.35">
      <c r="A275" t="s">
        <v>357</v>
      </c>
      <c r="B275" s="4" t="s">
        <v>355</v>
      </c>
      <c r="C275">
        <v>21</v>
      </c>
      <c r="D275" t="s">
        <v>71</v>
      </c>
      <c r="E275" s="7">
        <v>43</v>
      </c>
      <c r="F275">
        <v>2150</v>
      </c>
      <c r="G275">
        <v>4</v>
      </c>
      <c r="H275">
        <v>3</v>
      </c>
      <c r="I275" t="s">
        <v>72</v>
      </c>
      <c r="J275">
        <v>1</v>
      </c>
      <c r="K275">
        <v>143</v>
      </c>
    </row>
    <row r="276" spans="1:11" x14ac:dyDescent="0.35">
      <c r="A276" t="s">
        <v>358</v>
      </c>
      <c r="B276" s="4" t="s">
        <v>355</v>
      </c>
      <c r="C276">
        <v>4</v>
      </c>
      <c r="D276" t="s">
        <v>45</v>
      </c>
      <c r="E276" s="7">
        <v>-4</v>
      </c>
      <c r="F276">
        <v>-200</v>
      </c>
      <c r="G276">
        <v>2</v>
      </c>
      <c r="I276" t="s">
        <v>46</v>
      </c>
      <c r="J276">
        <v>1</v>
      </c>
      <c r="K276">
        <v>38</v>
      </c>
    </row>
    <row r="277" spans="1:11" x14ac:dyDescent="0.35">
      <c r="A277" t="s">
        <v>359</v>
      </c>
      <c r="B277" s="4" t="s">
        <v>355</v>
      </c>
      <c r="C277">
        <v>4</v>
      </c>
      <c r="D277" t="s">
        <v>45</v>
      </c>
      <c r="E277" s="7">
        <v>-9</v>
      </c>
      <c r="F277">
        <v>-450</v>
      </c>
      <c r="G277">
        <v>3</v>
      </c>
      <c r="I277" t="s">
        <v>46</v>
      </c>
      <c r="J277">
        <v>1</v>
      </c>
      <c r="K277">
        <v>29</v>
      </c>
    </row>
    <row r="278" spans="1:11" x14ac:dyDescent="0.35">
      <c r="A278" t="s">
        <v>360</v>
      </c>
      <c r="B278" s="4" t="s">
        <v>361</v>
      </c>
      <c r="C278">
        <v>4</v>
      </c>
      <c r="D278" t="s">
        <v>45</v>
      </c>
      <c r="E278" s="7">
        <v>-6</v>
      </c>
      <c r="F278">
        <v>-300</v>
      </c>
      <c r="G278">
        <v>1</v>
      </c>
      <c r="I278" t="s">
        <v>46</v>
      </c>
      <c r="J278">
        <v>1</v>
      </c>
      <c r="K278">
        <v>23</v>
      </c>
    </row>
    <row r="279" spans="1:11" x14ac:dyDescent="0.35">
      <c r="A279" t="s">
        <v>362</v>
      </c>
      <c r="B279" s="4" t="s">
        <v>361</v>
      </c>
      <c r="C279">
        <v>4</v>
      </c>
      <c r="D279" t="s">
        <v>45</v>
      </c>
      <c r="E279" s="7">
        <v>-8</v>
      </c>
      <c r="F279">
        <v>-400</v>
      </c>
      <c r="G279">
        <v>2</v>
      </c>
      <c r="I279" t="s">
        <v>46</v>
      </c>
      <c r="J279">
        <v>1</v>
      </c>
      <c r="K279">
        <v>15</v>
      </c>
    </row>
    <row r="280" spans="1:11" x14ac:dyDescent="0.35">
      <c r="A280" t="s">
        <v>363</v>
      </c>
      <c r="B280" s="4" t="s">
        <v>361</v>
      </c>
      <c r="C280">
        <v>4</v>
      </c>
      <c r="D280" t="s">
        <v>45</v>
      </c>
      <c r="E280" s="7">
        <v>-6</v>
      </c>
      <c r="F280">
        <v>-300</v>
      </c>
      <c r="G280">
        <v>3</v>
      </c>
      <c r="I280" t="s">
        <v>46</v>
      </c>
      <c r="J280">
        <v>1</v>
      </c>
      <c r="K280">
        <v>9</v>
      </c>
    </row>
    <row r="281" spans="1:11" x14ac:dyDescent="0.35">
      <c r="A281" t="s">
        <v>364</v>
      </c>
      <c r="B281" s="4" t="s">
        <v>365</v>
      </c>
      <c r="C281">
        <v>4</v>
      </c>
      <c r="D281" t="s">
        <v>45</v>
      </c>
      <c r="E281" s="7">
        <v>-3</v>
      </c>
      <c r="F281">
        <v>-150</v>
      </c>
      <c r="G281">
        <v>2</v>
      </c>
      <c r="I281" t="s">
        <v>46</v>
      </c>
      <c r="J281">
        <v>1</v>
      </c>
      <c r="K281">
        <v>6</v>
      </c>
    </row>
    <row r="282" spans="1:11" x14ac:dyDescent="0.35">
      <c r="A282" t="s">
        <v>366</v>
      </c>
      <c r="B282" s="4" t="s">
        <v>367</v>
      </c>
      <c r="C282">
        <v>22</v>
      </c>
      <c r="D282" t="s">
        <v>71</v>
      </c>
      <c r="E282" s="7">
        <v>46</v>
      </c>
      <c r="F282">
        <v>2300</v>
      </c>
      <c r="G282">
        <v>4</v>
      </c>
      <c r="H282">
        <v>3</v>
      </c>
      <c r="I282" t="s">
        <v>72</v>
      </c>
      <c r="J282">
        <v>1</v>
      </c>
      <c r="K282">
        <v>146</v>
      </c>
    </row>
    <row r="283" spans="1:11" x14ac:dyDescent="0.35">
      <c r="A283" t="s">
        <v>368</v>
      </c>
      <c r="B283" s="4" t="s">
        <v>367</v>
      </c>
      <c r="C283">
        <v>16</v>
      </c>
      <c r="D283" t="s">
        <v>71</v>
      </c>
      <c r="E283" s="7">
        <v>35</v>
      </c>
      <c r="F283">
        <v>1750</v>
      </c>
      <c r="G283">
        <v>4</v>
      </c>
      <c r="H283">
        <v>1</v>
      </c>
      <c r="I283" t="s">
        <v>72</v>
      </c>
      <c r="J283">
        <v>1</v>
      </c>
      <c r="K283">
        <v>135</v>
      </c>
    </row>
    <row r="284" spans="1:11" x14ac:dyDescent="0.35">
      <c r="A284" t="s">
        <v>369</v>
      </c>
      <c r="B284" s="4" t="s">
        <v>367</v>
      </c>
      <c r="C284">
        <v>6</v>
      </c>
      <c r="D284" t="s">
        <v>71</v>
      </c>
      <c r="E284" s="7">
        <v>22</v>
      </c>
      <c r="F284">
        <v>1100</v>
      </c>
      <c r="G284">
        <v>4</v>
      </c>
      <c r="H284">
        <v>4</v>
      </c>
      <c r="I284" t="s">
        <v>72</v>
      </c>
      <c r="J284">
        <v>1</v>
      </c>
      <c r="K284">
        <v>23</v>
      </c>
    </row>
    <row r="285" spans="1:11" x14ac:dyDescent="0.35">
      <c r="A285" t="s">
        <v>370</v>
      </c>
      <c r="B285" s="4" t="s">
        <v>367</v>
      </c>
      <c r="C285">
        <v>8</v>
      </c>
      <c r="D285" t="s">
        <v>71</v>
      </c>
      <c r="E285" s="7">
        <v>44</v>
      </c>
      <c r="F285">
        <v>2200</v>
      </c>
      <c r="G285">
        <v>4</v>
      </c>
      <c r="H285">
        <v>4</v>
      </c>
      <c r="I285" t="s">
        <v>72</v>
      </c>
      <c r="J285">
        <v>1</v>
      </c>
      <c r="K285">
        <v>44</v>
      </c>
    </row>
    <row r="286" spans="1:11" x14ac:dyDescent="0.35">
      <c r="A286" t="s">
        <v>371</v>
      </c>
      <c r="B286" s="4" t="s">
        <v>367</v>
      </c>
      <c r="C286">
        <v>6</v>
      </c>
      <c r="D286" t="s">
        <v>45</v>
      </c>
      <c r="E286" s="7">
        <v>-3</v>
      </c>
      <c r="F286">
        <v>-150</v>
      </c>
      <c r="G286">
        <v>1</v>
      </c>
      <c r="I286" t="s">
        <v>46</v>
      </c>
      <c r="J286">
        <v>1</v>
      </c>
      <c r="K286">
        <v>20</v>
      </c>
    </row>
    <row r="287" spans="1:11" x14ac:dyDescent="0.35">
      <c r="A287" t="s">
        <v>372</v>
      </c>
      <c r="B287" s="4" t="s">
        <v>367</v>
      </c>
      <c r="C287">
        <v>8</v>
      </c>
      <c r="D287" t="s">
        <v>45</v>
      </c>
      <c r="E287" s="7">
        <v>-9</v>
      </c>
      <c r="F287">
        <v>-450</v>
      </c>
      <c r="G287">
        <v>1</v>
      </c>
      <c r="I287" t="s">
        <v>46</v>
      </c>
      <c r="J287">
        <v>1</v>
      </c>
      <c r="K287">
        <v>35</v>
      </c>
    </row>
    <row r="288" spans="1:11" x14ac:dyDescent="0.35">
      <c r="A288" t="s">
        <v>373</v>
      </c>
      <c r="B288" s="4" t="s">
        <v>367</v>
      </c>
      <c r="C288">
        <v>6</v>
      </c>
      <c r="D288" t="s">
        <v>45</v>
      </c>
      <c r="E288" s="7">
        <v>-3</v>
      </c>
      <c r="F288">
        <v>-150</v>
      </c>
      <c r="G288">
        <v>2</v>
      </c>
      <c r="I288" t="s">
        <v>46</v>
      </c>
      <c r="J288">
        <v>1</v>
      </c>
      <c r="K288">
        <v>17</v>
      </c>
    </row>
    <row r="289" spans="1:11" x14ac:dyDescent="0.35">
      <c r="A289" t="s">
        <v>374</v>
      </c>
      <c r="B289" s="4" t="s">
        <v>367</v>
      </c>
      <c r="C289">
        <v>8</v>
      </c>
      <c r="D289" t="s">
        <v>45</v>
      </c>
      <c r="E289" s="7">
        <v>-6</v>
      </c>
      <c r="F289">
        <v>-300</v>
      </c>
      <c r="G289">
        <v>2</v>
      </c>
      <c r="I289" t="s">
        <v>46</v>
      </c>
      <c r="J289">
        <v>1</v>
      </c>
      <c r="K289">
        <v>29</v>
      </c>
    </row>
    <row r="290" spans="1:11" x14ac:dyDescent="0.35">
      <c r="A290" t="s">
        <v>375</v>
      </c>
      <c r="B290" s="4" t="s">
        <v>367</v>
      </c>
      <c r="C290">
        <v>8</v>
      </c>
      <c r="D290" t="s">
        <v>45</v>
      </c>
      <c r="E290" s="7">
        <v>-7</v>
      </c>
      <c r="F290">
        <v>-350</v>
      </c>
      <c r="G290">
        <v>3</v>
      </c>
      <c r="I290" t="s">
        <v>46</v>
      </c>
      <c r="J290">
        <v>1</v>
      </c>
      <c r="K290">
        <v>22</v>
      </c>
    </row>
    <row r="291" spans="1:11" x14ac:dyDescent="0.35">
      <c r="A291" t="s">
        <v>376</v>
      </c>
      <c r="B291" s="4" t="s">
        <v>377</v>
      </c>
      <c r="C291">
        <v>4</v>
      </c>
      <c r="D291" t="s">
        <v>45</v>
      </c>
      <c r="E291" s="7">
        <v>-5</v>
      </c>
      <c r="F291">
        <v>-250</v>
      </c>
      <c r="G291">
        <v>1</v>
      </c>
      <c r="I291" t="s">
        <v>46</v>
      </c>
      <c r="J291">
        <v>1</v>
      </c>
      <c r="K291">
        <v>1</v>
      </c>
    </row>
    <row r="292" spans="1:11" x14ac:dyDescent="0.35">
      <c r="A292" t="s">
        <v>378</v>
      </c>
      <c r="B292" s="4" t="s">
        <v>377</v>
      </c>
      <c r="C292">
        <v>6</v>
      </c>
      <c r="D292" t="s">
        <v>45</v>
      </c>
      <c r="E292" s="7">
        <v>-8</v>
      </c>
      <c r="F292">
        <v>-400</v>
      </c>
      <c r="G292">
        <v>1</v>
      </c>
      <c r="I292" t="s">
        <v>46</v>
      </c>
      <c r="J292">
        <v>1</v>
      </c>
      <c r="K292">
        <v>9</v>
      </c>
    </row>
    <row r="293" spans="1:11" x14ac:dyDescent="0.35">
      <c r="A293" t="s">
        <v>379</v>
      </c>
      <c r="B293" s="4" t="s">
        <v>377</v>
      </c>
      <c r="C293">
        <v>8</v>
      </c>
      <c r="D293" t="s">
        <v>45</v>
      </c>
      <c r="E293" s="7">
        <v>-7</v>
      </c>
      <c r="F293">
        <v>-350</v>
      </c>
      <c r="G293">
        <v>1</v>
      </c>
      <c r="I293" t="s">
        <v>46</v>
      </c>
      <c r="J293">
        <v>1</v>
      </c>
      <c r="K293">
        <v>15</v>
      </c>
    </row>
    <row r="294" spans="1:11" x14ac:dyDescent="0.35">
      <c r="A294" t="s">
        <v>380</v>
      </c>
      <c r="B294" s="4" t="s">
        <v>377</v>
      </c>
      <c r="C294">
        <v>6</v>
      </c>
      <c r="D294" t="s">
        <v>45</v>
      </c>
      <c r="E294" s="7">
        <v>-7</v>
      </c>
      <c r="F294">
        <v>-350</v>
      </c>
      <c r="G294">
        <v>2</v>
      </c>
      <c r="I294" t="s">
        <v>46</v>
      </c>
      <c r="J294">
        <v>1</v>
      </c>
      <c r="K294">
        <v>2</v>
      </c>
    </row>
    <row r="295" spans="1:11" x14ac:dyDescent="0.35">
      <c r="A295" t="s">
        <v>381</v>
      </c>
      <c r="B295" s="4" t="s">
        <v>377</v>
      </c>
      <c r="C295">
        <v>8</v>
      </c>
      <c r="D295" t="s">
        <v>45</v>
      </c>
      <c r="E295" s="7">
        <v>-6</v>
      </c>
      <c r="F295">
        <v>-300</v>
      </c>
      <c r="G295">
        <v>3</v>
      </c>
      <c r="I295" t="s">
        <v>46</v>
      </c>
      <c r="J295">
        <v>1</v>
      </c>
      <c r="K295">
        <v>9</v>
      </c>
    </row>
    <row r="296" spans="1:11" x14ac:dyDescent="0.35">
      <c r="A296" t="s">
        <v>382</v>
      </c>
      <c r="B296" s="4" t="s">
        <v>383</v>
      </c>
      <c r="C296">
        <v>33</v>
      </c>
      <c r="D296" t="s">
        <v>71</v>
      </c>
      <c r="E296" s="7">
        <v>31</v>
      </c>
      <c r="F296">
        <v>1550</v>
      </c>
      <c r="G296">
        <v>4</v>
      </c>
      <c r="H296">
        <v>4</v>
      </c>
      <c r="I296" t="s">
        <v>72</v>
      </c>
      <c r="J296">
        <v>1</v>
      </c>
      <c r="K296">
        <v>253</v>
      </c>
    </row>
    <row r="297" spans="1:11" x14ac:dyDescent="0.35">
      <c r="A297" t="s">
        <v>384</v>
      </c>
      <c r="B297" s="4" t="s">
        <v>383</v>
      </c>
      <c r="C297">
        <v>14</v>
      </c>
      <c r="D297" t="s">
        <v>71</v>
      </c>
      <c r="E297" s="7">
        <v>46</v>
      </c>
      <c r="F297">
        <v>2300</v>
      </c>
      <c r="G297">
        <v>4</v>
      </c>
      <c r="H297">
        <v>3</v>
      </c>
      <c r="I297" t="s">
        <v>72</v>
      </c>
      <c r="J297">
        <v>1</v>
      </c>
      <c r="K297">
        <v>146</v>
      </c>
    </row>
    <row r="298" spans="1:11" x14ac:dyDescent="0.35">
      <c r="A298" t="s">
        <v>385</v>
      </c>
      <c r="B298" s="4" t="s">
        <v>383</v>
      </c>
      <c r="C298">
        <v>30</v>
      </c>
      <c r="D298" t="s">
        <v>71</v>
      </c>
      <c r="E298" s="7">
        <v>21</v>
      </c>
      <c r="F298">
        <v>1050</v>
      </c>
      <c r="G298">
        <v>4</v>
      </c>
      <c r="H298">
        <v>2</v>
      </c>
      <c r="I298" t="s">
        <v>72</v>
      </c>
      <c r="J298">
        <v>1</v>
      </c>
      <c r="K298">
        <v>147</v>
      </c>
    </row>
    <row r="299" spans="1:11" x14ac:dyDescent="0.35">
      <c r="A299" t="s">
        <v>386</v>
      </c>
      <c r="B299" s="4" t="s">
        <v>383</v>
      </c>
      <c r="C299">
        <v>22</v>
      </c>
      <c r="D299" t="s">
        <v>71</v>
      </c>
      <c r="E299" s="7">
        <v>46</v>
      </c>
      <c r="F299">
        <v>2300</v>
      </c>
      <c r="G299">
        <v>4</v>
      </c>
      <c r="H299">
        <v>3</v>
      </c>
      <c r="I299" t="s">
        <v>72</v>
      </c>
      <c r="J299">
        <v>1</v>
      </c>
      <c r="K299">
        <v>192</v>
      </c>
    </row>
    <row r="300" spans="1:11" x14ac:dyDescent="0.35">
      <c r="A300" t="s">
        <v>387</v>
      </c>
      <c r="B300" s="4" t="s">
        <v>388</v>
      </c>
      <c r="C300">
        <v>8</v>
      </c>
      <c r="D300" t="s">
        <v>45</v>
      </c>
      <c r="E300" s="7">
        <v>-8</v>
      </c>
      <c r="F300">
        <v>-400</v>
      </c>
      <c r="G300">
        <v>2</v>
      </c>
      <c r="I300" t="s">
        <v>46</v>
      </c>
      <c r="J300">
        <v>1</v>
      </c>
      <c r="K300">
        <v>1</v>
      </c>
    </row>
    <row r="301" spans="1:11" x14ac:dyDescent="0.35">
      <c r="A301" t="s">
        <v>389</v>
      </c>
      <c r="B301" s="4" t="s">
        <v>390</v>
      </c>
      <c r="C301">
        <v>7</v>
      </c>
      <c r="D301" t="s">
        <v>71</v>
      </c>
      <c r="E301" s="7">
        <v>45</v>
      </c>
      <c r="F301">
        <v>2250</v>
      </c>
      <c r="G301">
        <v>4</v>
      </c>
      <c r="H301">
        <v>4</v>
      </c>
      <c r="I301" t="s">
        <v>72</v>
      </c>
      <c r="J301">
        <v>1</v>
      </c>
      <c r="K301">
        <v>46</v>
      </c>
    </row>
    <row r="302" spans="1:11" x14ac:dyDescent="0.35">
      <c r="A302" t="s">
        <v>391</v>
      </c>
      <c r="B302" s="4" t="s">
        <v>390</v>
      </c>
      <c r="C302">
        <v>15</v>
      </c>
      <c r="D302" t="s">
        <v>71</v>
      </c>
      <c r="E302" s="7">
        <v>42</v>
      </c>
      <c r="F302">
        <v>2100</v>
      </c>
      <c r="G302">
        <v>4</v>
      </c>
      <c r="H302">
        <v>1</v>
      </c>
      <c r="I302" t="s">
        <v>72</v>
      </c>
      <c r="J302">
        <v>1</v>
      </c>
      <c r="K302">
        <v>204</v>
      </c>
    </row>
    <row r="303" spans="1:11" x14ac:dyDescent="0.35">
      <c r="A303" t="s">
        <v>392</v>
      </c>
      <c r="B303" s="4" t="s">
        <v>390</v>
      </c>
      <c r="C303">
        <v>25</v>
      </c>
      <c r="D303" t="s">
        <v>71</v>
      </c>
      <c r="E303" s="7">
        <v>29</v>
      </c>
      <c r="F303">
        <v>1450</v>
      </c>
      <c r="G303">
        <v>4</v>
      </c>
      <c r="H303">
        <v>4</v>
      </c>
      <c r="I303" t="s">
        <v>72</v>
      </c>
      <c r="J303">
        <v>1</v>
      </c>
      <c r="K303">
        <v>129</v>
      </c>
    </row>
    <row r="304" spans="1:11" x14ac:dyDescent="0.35">
      <c r="A304" t="s">
        <v>393</v>
      </c>
      <c r="B304" s="4" t="s">
        <v>390</v>
      </c>
      <c r="C304">
        <v>16</v>
      </c>
      <c r="D304" t="s">
        <v>71</v>
      </c>
      <c r="E304" s="7">
        <v>21</v>
      </c>
      <c r="F304">
        <v>1050</v>
      </c>
      <c r="G304">
        <v>4</v>
      </c>
      <c r="H304">
        <v>1</v>
      </c>
      <c r="I304" t="s">
        <v>72</v>
      </c>
      <c r="J304">
        <v>1</v>
      </c>
      <c r="K304">
        <v>156</v>
      </c>
    </row>
    <row r="305" spans="1:11" x14ac:dyDescent="0.35">
      <c r="A305" t="s">
        <v>394</v>
      </c>
      <c r="B305" s="4" t="s">
        <v>390</v>
      </c>
      <c r="C305">
        <v>33</v>
      </c>
      <c r="D305" t="s">
        <v>71</v>
      </c>
      <c r="E305" s="7">
        <v>49</v>
      </c>
      <c r="F305">
        <v>2450</v>
      </c>
      <c r="G305">
        <v>4</v>
      </c>
      <c r="H305">
        <v>4</v>
      </c>
      <c r="I305" t="s">
        <v>72</v>
      </c>
      <c r="J305">
        <v>1</v>
      </c>
      <c r="K305">
        <v>302</v>
      </c>
    </row>
    <row r="306" spans="1:11" x14ac:dyDescent="0.35">
      <c r="A306" t="s">
        <v>395</v>
      </c>
      <c r="B306" s="4" t="s">
        <v>390</v>
      </c>
      <c r="C306">
        <v>7</v>
      </c>
      <c r="D306" t="s">
        <v>45</v>
      </c>
      <c r="E306" s="7">
        <v>-3</v>
      </c>
      <c r="F306">
        <v>-150</v>
      </c>
      <c r="G306">
        <v>2</v>
      </c>
      <c r="I306" t="s">
        <v>46</v>
      </c>
      <c r="J306">
        <v>1</v>
      </c>
      <c r="K306">
        <v>43</v>
      </c>
    </row>
    <row r="307" spans="1:11" x14ac:dyDescent="0.35">
      <c r="A307" t="s">
        <v>396</v>
      </c>
      <c r="B307" s="4" t="s">
        <v>390</v>
      </c>
      <c r="C307">
        <v>7</v>
      </c>
      <c r="D307" t="s">
        <v>45</v>
      </c>
      <c r="E307" s="7">
        <v>-7</v>
      </c>
      <c r="F307">
        <v>-350</v>
      </c>
      <c r="G307">
        <v>3</v>
      </c>
      <c r="I307" t="s">
        <v>46</v>
      </c>
      <c r="J307">
        <v>1</v>
      </c>
      <c r="K307">
        <v>36</v>
      </c>
    </row>
    <row r="308" spans="1:11" x14ac:dyDescent="0.35">
      <c r="A308" t="s">
        <v>397</v>
      </c>
      <c r="B308" s="4" t="s">
        <v>398</v>
      </c>
      <c r="C308">
        <v>7</v>
      </c>
      <c r="D308" t="s">
        <v>45</v>
      </c>
      <c r="E308" s="7">
        <v>-8</v>
      </c>
      <c r="F308">
        <v>-400</v>
      </c>
      <c r="G308">
        <v>1</v>
      </c>
      <c r="I308" t="s">
        <v>46</v>
      </c>
      <c r="J308">
        <v>1</v>
      </c>
      <c r="K308">
        <v>28</v>
      </c>
    </row>
    <row r="309" spans="1:11" x14ac:dyDescent="0.35">
      <c r="A309" t="s">
        <v>399</v>
      </c>
      <c r="B309" s="4" t="s">
        <v>398</v>
      </c>
      <c r="C309">
        <v>7</v>
      </c>
      <c r="D309" t="s">
        <v>45</v>
      </c>
      <c r="E309" s="7">
        <v>-5</v>
      </c>
      <c r="F309">
        <v>-250</v>
      </c>
      <c r="G309">
        <v>2</v>
      </c>
      <c r="I309" t="s">
        <v>46</v>
      </c>
      <c r="J309">
        <v>1</v>
      </c>
      <c r="K309">
        <v>23</v>
      </c>
    </row>
    <row r="310" spans="1:11" x14ac:dyDescent="0.35">
      <c r="A310" t="s">
        <v>400</v>
      </c>
      <c r="B310" s="4" t="s">
        <v>401</v>
      </c>
      <c r="C310">
        <v>7</v>
      </c>
      <c r="D310" t="s">
        <v>45</v>
      </c>
      <c r="E310" s="7">
        <v>-9</v>
      </c>
      <c r="F310">
        <v>-450</v>
      </c>
      <c r="G310">
        <v>1</v>
      </c>
      <c r="I310" t="s">
        <v>46</v>
      </c>
      <c r="J310">
        <v>1</v>
      </c>
      <c r="K310">
        <v>14</v>
      </c>
    </row>
    <row r="311" spans="1:11" x14ac:dyDescent="0.35">
      <c r="A311" t="s">
        <v>402</v>
      </c>
      <c r="B311" s="4" t="s">
        <v>401</v>
      </c>
      <c r="C311">
        <v>7</v>
      </c>
      <c r="D311" t="s">
        <v>45</v>
      </c>
      <c r="E311" s="7">
        <v>-9</v>
      </c>
      <c r="F311">
        <v>-450</v>
      </c>
      <c r="G311">
        <v>2</v>
      </c>
      <c r="I311" t="s">
        <v>46</v>
      </c>
      <c r="J311">
        <v>1</v>
      </c>
      <c r="K311">
        <v>5</v>
      </c>
    </row>
    <row r="312" spans="1:11" x14ac:dyDescent="0.35">
      <c r="A312" t="s">
        <v>403</v>
      </c>
      <c r="B312" s="4" t="s">
        <v>404</v>
      </c>
      <c r="C312">
        <v>7</v>
      </c>
      <c r="D312" t="s">
        <v>45</v>
      </c>
      <c r="E312" s="7">
        <v>-4</v>
      </c>
      <c r="F312">
        <v>-200</v>
      </c>
      <c r="G312">
        <v>1</v>
      </c>
      <c r="I312" t="s">
        <v>46</v>
      </c>
      <c r="J312">
        <v>1</v>
      </c>
      <c r="K312">
        <v>1</v>
      </c>
    </row>
    <row r="313" spans="1:11" x14ac:dyDescent="0.35">
      <c r="A313" t="s">
        <v>405</v>
      </c>
      <c r="B313" s="4" t="s">
        <v>406</v>
      </c>
      <c r="C313">
        <v>18</v>
      </c>
      <c r="D313" t="s">
        <v>71</v>
      </c>
      <c r="E313" s="7">
        <v>48</v>
      </c>
      <c r="F313">
        <v>2400</v>
      </c>
      <c r="G313">
        <v>4</v>
      </c>
      <c r="H313">
        <v>4</v>
      </c>
      <c r="I313" t="s">
        <v>72</v>
      </c>
      <c r="J313">
        <v>1</v>
      </c>
      <c r="K313">
        <v>148</v>
      </c>
    </row>
    <row r="314" spans="1:11" x14ac:dyDescent="0.35">
      <c r="A314" t="s">
        <v>407</v>
      </c>
      <c r="B314" s="4" t="s">
        <v>406</v>
      </c>
      <c r="C314">
        <v>9</v>
      </c>
      <c r="D314" t="s">
        <v>71</v>
      </c>
      <c r="E314" s="7">
        <v>37</v>
      </c>
      <c r="F314">
        <v>1850</v>
      </c>
      <c r="G314">
        <v>4</v>
      </c>
      <c r="H314">
        <v>3</v>
      </c>
      <c r="I314" t="s">
        <v>72</v>
      </c>
      <c r="J314">
        <v>1</v>
      </c>
      <c r="K314">
        <v>37</v>
      </c>
    </row>
    <row r="315" spans="1:11" x14ac:dyDescent="0.35">
      <c r="A315" t="s">
        <v>408</v>
      </c>
      <c r="B315" s="4" t="s">
        <v>406</v>
      </c>
      <c r="C315">
        <v>9</v>
      </c>
      <c r="D315" t="s">
        <v>45</v>
      </c>
      <c r="E315" s="7">
        <v>-3</v>
      </c>
      <c r="F315">
        <v>-150</v>
      </c>
      <c r="G315">
        <v>1</v>
      </c>
      <c r="I315" t="s">
        <v>46</v>
      </c>
      <c r="J315">
        <v>1</v>
      </c>
      <c r="K315">
        <v>34</v>
      </c>
    </row>
    <row r="316" spans="1:11" x14ac:dyDescent="0.35">
      <c r="A316" t="s">
        <v>409</v>
      </c>
      <c r="B316" s="4" t="s">
        <v>406</v>
      </c>
      <c r="C316">
        <v>9</v>
      </c>
      <c r="D316" t="s">
        <v>45</v>
      </c>
      <c r="E316" s="7">
        <v>-8</v>
      </c>
      <c r="F316">
        <v>-400</v>
      </c>
      <c r="G316">
        <v>2</v>
      </c>
      <c r="I316" t="s">
        <v>46</v>
      </c>
      <c r="J316">
        <v>1</v>
      </c>
      <c r="K316">
        <v>26</v>
      </c>
    </row>
    <row r="317" spans="1:11" x14ac:dyDescent="0.35">
      <c r="A317" t="s">
        <v>410</v>
      </c>
      <c r="B317" s="4" t="s">
        <v>406</v>
      </c>
      <c r="C317">
        <v>9</v>
      </c>
      <c r="D317" t="s">
        <v>45</v>
      </c>
      <c r="E317" s="7">
        <v>-9</v>
      </c>
      <c r="F317">
        <v>-450</v>
      </c>
      <c r="G317">
        <v>3</v>
      </c>
      <c r="I317" t="s">
        <v>46</v>
      </c>
      <c r="J317">
        <v>1</v>
      </c>
      <c r="K317">
        <v>17</v>
      </c>
    </row>
    <row r="318" spans="1:11" x14ac:dyDescent="0.35">
      <c r="A318" t="s">
        <v>411</v>
      </c>
      <c r="B318" s="4" t="s">
        <v>412</v>
      </c>
      <c r="C318">
        <v>9</v>
      </c>
      <c r="D318" t="s">
        <v>45</v>
      </c>
      <c r="E318" s="7">
        <v>-3</v>
      </c>
      <c r="F318">
        <v>-150</v>
      </c>
      <c r="G318">
        <v>2</v>
      </c>
      <c r="I318" t="s">
        <v>46</v>
      </c>
      <c r="J318">
        <v>1</v>
      </c>
      <c r="K318">
        <v>14</v>
      </c>
    </row>
    <row r="319" spans="1:11" x14ac:dyDescent="0.35">
      <c r="A319" t="s">
        <v>413</v>
      </c>
      <c r="B319" s="4" t="s">
        <v>412</v>
      </c>
      <c r="C319">
        <v>9</v>
      </c>
      <c r="D319" t="s">
        <v>45</v>
      </c>
      <c r="E319" s="7">
        <v>-4</v>
      </c>
      <c r="F319">
        <v>-200</v>
      </c>
      <c r="G319">
        <v>3</v>
      </c>
      <c r="I319" t="s">
        <v>46</v>
      </c>
      <c r="J319">
        <v>1</v>
      </c>
      <c r="K319">
        <v>10</v>
      </c>
    </row>
    <row r="320" spans="1:11" x14ac:dyDescent="0.35">
      <c r="A320" t="s">
        <v>414</v>
      </c>
      <c r="B320" s="4" t="s">
        <v>415</v>
      </c>
      <c r="C320">
        <v>9</v>
      </c>
      <c r="D320" t="s">
        <v>45</v>
      </c>
      <c r="E320" s="7">
        <v>-9</v>
      </c>
      <c r="F320">
        <v>-450</v>
      </c>
      <c r="G320">
        <v>1</v>
      </c>
      <c r="I320" t="s">
        <v>46</v>
      </c>
      <c r="J320">
        <v>1</v>
      </c>
      <c r="K320">
        <v>1</v>
      </c>
    </row>
    <row r="321" spans="1:11" x14ac:dyDescent="0.35">
      <c r="A321" t="s">
        <v>416</v>
      </c>
      <c r="B321" s="4" t="s">
        <v>417</v>
      </c>
      <c r="C321">
        <v>31</v>
      </c>
      <c r="D321" t="s">
        <v>71</v>
      </c>
      <c r="E321" s="7">
        <v>39</v>
      </c>
      <c r="F321">
        <v>1950</v>
      </c>
      <c r="G321">
        <v>4</v>
      </c>
      <c r="H321">
        <v>3</v>
      </c>
      <c r="I321" t="s">
        <v>72</v>
      </c>
      <c r="J321">
        <v>1</v>
      </c>
      <c r="K321">
        <v>167</v>
      </c>
    </row>
    <row r="322" spans="1:11" x14ac:dyDescent="0.35">
      <c r="A322" t="s">
        <v>418</v>
      </c>
      <c r="B322" s="4" t="s">
        <v>417</v>
      </c>
      <c r="C322">
        <v>24</v>
      </c>
      <c r="D322" t="s">
        <v>71</v>
      </c>
      <c r="E322" s="7">
        <v>30</v>
      </c>
      <c r="F322">
        <v>1500</v>
      </c>
      <c r="G322">
        <v>4</v>
      </c>
      <c r="H322">
        <v>3</v>
      </c>
      <c r="I322" t="s">
        <v>72</v>
      </c>
      <c r="J322">
        <v>1</v>
      </c>
      <c r="K322">
        <v>223</v>
      </c>
    </row>
    <row r="323" spans="1:11" x14ac:dyDescent="0.35">
      <c r="A323" t="s">
        <v>419</v>
      </c>
      <c r="B323" s="4" t="s">
        <v>420</v>
      </c>
      <c r="C323">
        <v>12</v>
      </c>
      <c r="D323" t="s">
        <v>71</v>
      </c>
      <c r="E323" s="7">
        <v>35</v>
      </c>
      <c r="F323">
        <v>1750</v>
      </c>
      <c r="G323">
        <v>4</v>
      </c>
      <c r="H323">
        <v>3</v>
      </c>
      <c r="I323" t="s">
        <v>72</v>
      </c>
      <c r="J323">
        <v>1</v>
      </c>
      <c r="K323">
        <v>35</v>
      </c>
    </row>
    <row r="324" spans="1:11" x14ac:dyDescent="0.35">
      <c r="A324" t="s">
        <v>421</v>
      </c>
      <c r="B324" s="4" t="s">
        <v>420</v>
      </c>
      <c r="C324">
        <v>27</v>
      </c>
      <c r="D324" t="s">
        <v>71</v>
      </c>
      <c r="E324" s="7">
        <v>24</v>
      </c>
      <c r="F324">
        <v>1200</v>
      </c>
      <c r="G324">
        <v>4</v>
      </c>
      <c r="H324">
        <v>4</v>
      </c>
      <c r="I324" t="s">
        <v>72</v>
      </c>
      <c r="J324">
        <v>1</v>
      </c>
      <c r="K324">
        <v>124</v>
      </c>
    </row>
    <row r="325" spans="1:11" x14ac:dyDescent="0.35">
      <c r="A325" t="s">
        <v>422</v>
      </c>
      <c r="B325" s="4" t="s">
        <v>420</v>
      </c>
      <c r="C325">
        <v>12</v>
      </c>
      <c r="D325" t="s">
        <v>45</v>
      </c>
      <c r="E325" s="7">
        <v>-8</v>
      </c>
      <c r="F325">
        <v>-400</v>
      </c>
      <c r="G325">
        <v>3</v>
      </c>
      <c r="I325" t="s">
        <v>46</v>
      </c>
      <c r="J325">
        <v>1</v>
      </c>
      <c r="K325">
        <v>27</v>
      </c>
    </row>
    <row r="326" spans="1:11" x14ac:dyDescent="0.35">
      <c r="A326" t="s">
        <v>423</v>
      </c>
      <c r="B326" s="4" t="s">
        <v>424</v>
      </c>
      <c r="C326">
        <v>12</v>
      </c>
      <c r="D326" t="s">
        <v>45</v>
      </c>
      <c r="E326" s="7">
        <v>-4</v>
      </c>
      <c r="F326">
        <v>-200</v>
      </c>
      <c r="G326">
        <v>1</v>
      </c>
      <c r="I326" t="s">
        <v>46</v>
      </c>
      <c r="J326">
        <v>1</v>
      </c>
      <c r="K326">
        <v>23</v>
      </c>
    </row>
    <row r="327" spans="1:11" x14ac:dyDescent="0.35">
      <c r="A327" t="s">
        <v>425</v>
      </c>
      <c r="B327" s="4" t="s">
        <v>424</v>
      </c>
      <c r="C327">
        <v>12</v>
      </c>
      <c r="D327" t="s">
        <v>45</v>
      </c>
      <c r="E327" s="7">
        <v>-6</v>
      </c>
      <c r="F327">
        <v>-300</v>
      </c>
      <c r="G327">
        <v>2</v>
      </c>
      <c r="I327" t="s">
        <v>46</v>
      </c>
      <c r="J327">
        <v>1</v>
      </c>
      <c r="K327">
        <v>17</v>
      </c>
    </row>
    <row r="328" spans="1:11" x14ac:dyDescent="0.35">
      <c r="A328" t="s">
        <v>426</v>
      </c>
      <c r="B328" s="4" t="s">
        <v>424</v>
      </c>
      <c r="C328">
        <v>12</v>
      </c>
      <c r="D328" t="s">
        <v>45</v>
      </c>
      <c r="E328" s="7">
        <v>-7</v>
      </c>
      <c r="F328">
        <v>-350</v>
      </c>
      <c r="G328">
        <v>3</v>
      </c>
      <c r="I328" t="s">
        <v>46</v>
      </c>
      <c r="J328">
        <v>1</v>
      </c>
      <c r="K328">
        <v>10</v>
      </c>
    </row>
    <row r="329" spans="1:11" x14ac:dyDescent="0.35">
      <c r="A329" t="s">
        <v>427</v>
      </c>
      <c r="B329" s="4" t="s">
        <v>428</v>
      </c>
      <c r="C329">
        <v>12</v>
      </c>
      <c r="D329" t="s">
        <v>45</v>
      </c>
      <c r="E329" s="7">
        <v>-9</v>
      </c>
      <c r="F329">
        <v>-450</v>
      </c>
      <c r="G329">
        <v>1</v>
      </c>
      <c r="I329" t="s">
        <v>46</v>
      </c>
      <c r="J329">
        <v>1</v>
      </c>
      <c r="K329">
        <v>1</v>
      </c>
    </row>
    <row r="330" spans="1:11" x14ac:dyDescent="0.35">
      <c r="A330" t="s">
        <v>429</v>
      </c>
      <c r="B330" s="4" t="s">
        <v>430</v>
      </c>
      <c r="C330">
        <v>12</v>
      </c>
      <c r="D330" t="s">
        <v>71</v>
      </c>
      <c r="E330" s="7">
        <v>29</v>
      </c>
      <c r="F330">
        <v>1450</v>
      </c>
      <c r="G330">
        <v>4</v>
      </c>
      <c r="H330">
        <v>3</v>
      </c>
      <c r="I330" t="s">
        <v>72</v>
      </c>
      <c r="J330">
        <v>1</v>
      </c>
      <c r="K330">
        <v>30</v>
      </c>
    </row>
    <row r="331" spans="1:11" x14ac:dyDescent="0.35">
      <c r="A331" t="s">
        <v>431</v>
      </c>
      <c r="B331" s="4" t="s">
        <v>430</v>
      </c>
      <c r="C331">
        <v>7</v>
      </c>
      <c r="D331" t="s">
        <v>71</v>
      </c>
      <c r="E331" s="7">
        <v>28</v>
      </c>
      <c r="F331">
        <v>1400</v>
      </c>
      <c r="G331">
        <v>4</v>
      </c>
      <c r="H331">
        <v>4</v>
      </c>
      <c r="I331" t="s">
        <v>72</v>
      </c>
      <c r="J331">
        <v>1</v>
      </c>
      <c r="K331">
        <v>29</v>
      </c>
    </row>
    <row r="332" spans="1:11" x14ac:dyDescent="0.35">
      <c r="A332" t="s">
        <v>432</v>
      </c>
      <c r="B332" s="4" t="s">
        <v>430</v>
      </c>
      <c r="C332">
        <v>7</v>
      </c>
      <c r="D332" t="s">
        <v>45</v>
      </c>
      <c r="E332" s="7">
        <v>-9</v>
      </c>
      <c r="F332">
        <v>-450</v>
      </c>
      <c r="G332">
        <v>1</v>
      </c>
      <c r="I332" t="s">
        <v>46</v>
      </c>
      <c r="J332">
        <v>1</v>
      </c>
      <c r="K332">
        <v>20</v>
      </c>
    </row>
    <row r="333" spans="1:11" x14ac:dyDescent="0.35">
      <c r="A333" t="s">
        <v>433</v>
      </c>
      <c r="B333" s="4" t="s">
        <v>430</v>
      </c>
      <c r="C333">
        <v>12</v>
      </c>
      <c r="D333" t="s">
        <v>45</v>
      </c>
      <c r="E333" s="7">
        <v>-9</v>
      </c>
      <c r="F333">
        <v>-450</v>
      </c>
      <c r="G333">
        <v>1</v>
      </c>
      <c r="I333" t="s">
        <v>46</v>
      </c>
      <c r="J333">
        <v>1</v>
      </c>
      <c r="K333">
        <v>21</v>
      </c>
    </row>
    <row r="334" spans="1:11" x14ac:dyDescent="0.35">
      <c r="A334" t="s">
        <v>434</v>
      </c>
      <c r="B334" s="4" t="s">
        <v>430</v>
      </c>
      <c r="C334">
        <v>12</v>
      </c>
      <c r="D334" t="s">
        <v>45</v>
      </c>
      <c r="E334" s="7">
        <v>-4</v>
      </c>
      <c r="F334">
        <v>-200</v>
      </c>
      <c r="G334">
        <v>2</v>
      </c>
      <c r="I334" t="s">
        <v>46</v>
      </c>
      <c r="J334">
        <v>1</v>
      </c>
      <c r="K334">
        <v>17</v>
      </c>
    </row>
    <row r="335" spans="1:11" x14ac:dyDescent="0.35">
      <c r="A335" t="s">
        <v>435</v>
      </c>
      <c r="B335" s="4" t="s">
        <v>430</v>
      </c>
      <c r="C335">
        <v>7</v>
      </c>
      <c r="D335" t="s">
        <v>45</v>
      </c>
      <c r="E335" s="7">
        <v>-5</v>
      </c>
      <c r="F335">
        <v>-250</v>
      </c>
      <c r="G335">
        <v>3</v>
      </c>
      <c r="I335" t="s">
        <v>46</v>
      </c>
      <c r="J335">
        <v>1</v>
      </c>
      <c r="K335">
        <v>15</v>
      </c>
    </row>
    <row r="336" spans="1:11" x14ac:dyDescent="0.35">
      <c r="A336" t="s">
        <v>436</v>
      </c>
      <c r="B336" s="4" t="s">
        <v>430</v>
      </c>
      <c r="C336">
        <v>12</v>
      </c>
      <c r="D336" t="s">
        <v>45</v>
      </c>
      <c r="E336" s="7">
        <v>-5</v>
      </c>
      <c r="F336">
        <v>-250</v>
      </c>
      <c r="G336">
        <v>3</v>
      </c>
      <c r="I336" t="s">
        <v>46</v>
      </c>
      <c r="J336">
        <v>1</v>
      </c>
      <c r="K336">
        <v>12</v>
      </c>
    </row>
    <row r="337" spans="1:11" x14ac:dyDescent="0.35">
      <c r="A337" t="s">
        <v>437</v>
      </c>
      <c r="B337" s="4" t="s">
        <v>438</v>
      </c>
      <c r="C337">
        <v>7</v>
      </c>
      <c r="D337" t="s">
        <v>45</v>
      </c>
      <c r="E337" s="7">
        <v>-4</v>
      </c>
      <c r="F337">
        <v>-200</v>
      </c>
      <c r="G337">
        <v>1</v>
      </c>
      <c r="I337" t="s">
        <v>46</v>
      </c>
      <c r="J337">
        <v>1</v>
      </c>
      <c r="K337">
        <v>11</v>
      </c>
    </row>
    <row r="338" spans="1:11" x14ac:dyDescent="0.35">
      <c r="A338" t="s">
        <v>439</v>
      </c>
      <c r="B338" s="4" t="s">
        <v>438</v>
      </c>
      <c r="C338">
        <v>12</v>
      </c>
      <c r="D338" t="s">
        <v>45</v>
      </c>
      <c r="E338" s="7">
        <v>-3</v>
      </c>
      <c r="F338">
        <v>-150</v>
      </c>
      <c r="G338">
        <v>1</v>
      </c>
      <c r="I338" t="s">
        <v>46</v>
      </c>
      <c r="J338">
        <v>1</v>
      </c>
      <c r="K338">
        <v>9</v>
      </c>
    </row>
    <row r="339" spans="1:11" x14ac:dyDescent="0.35">
      <c r="A339" t="s">
        <v>440</v>
      </c>
      <c r="B339" s="4" t="s">
        <v>438</v>
      </c>
      <c r="C339">
        <v>7</v>
      </c>
      <c r="D339" t="s">
        <v>45</v>
      </c>
      <c r="E339" s="7">
        <v>-9</v>
      </c>
      <c r="F339">
        <v>-450</v>
      </c>
      <c r="G339">
        <v>3</v>
      </c>
      <c r="I339" t="s">
        <v>46</v>
      </c>
      <c r="J339">
        <v>1</v>
      </c>
      <c r="K339">
        <v>2</v>
      </c>
    </row>
    <row r="340" spans="1:11" x14ac:dyDescent="0.35">
      <c r="A340" t="s">
        <v>441</v>
      </c>
      <c r="B340" s="4" t="s">
        <v>438</v>
      </c>
      <c r="C340">
        <v>12</v>
      </c>
      <c r="D340" t="s">
        <v>45</v>
      </c>
      <c r="E340" s="7">
        <v>-6</v>
      </c>
      <c r="F340">
        <v>-300</v>
      </c>
      <c r="G340">
        <v>3</v>
      </c>
      <c r="I340" t="s">
        <v>46</v>
      </c>
      <c r="J340">
        <v>1</v>
      </c>
      <c r="K340">
        <v>3</v>
      </c>
    </row>
    <row r="341" spans="1:11" x14ac:dyDescent="0.35">
      <c r="A341" t="s">
        <v>442</v>
      </c>
      <c r="B341" s="4" t="s">
        <v>443</v>
      </c>
      <c r="C341">
        <v>34</v>
      </c>
      <c r="D341" t="s">
        <v>71</v>
      </c>
      <c r="E341" s="7">
        <v>37</v>
      </c>
      <c r="F341">
        <v>1850</v>
      </c>
      <c r="G341">
        <v>4</v>
      </c>
      <c r="H341">
        <v>4</v>
      </c>
      <c r="I341" t="s">
        <v>72</v>
      </c>
      <c r="J341">
        <v>1</v>
      </c>
      <c r="K341">
        <v>215</v>
      </c>
    </row>
    <row r="342" spans="1:11" x14ac:dyDescent="0.35">
      <c r="A342" t="s">
        <v>444</v>
      </c>
      <c r="B342" s="4" t="s">
        <v>443</v>
      </c>
      <c r="C342">
        <v>7</v>
      </c>
      <c r="D342" t="s">
        <v>71</v>
      </c>
      <c r="E342" s="7">
        <v>32</v>
      </c>
      <c r="F342">
        <v>1600</v>
      </c>
      <c r="G342">
        <v>4</v>
      </c>
      <c r="H342">
        <v>4</v>
      </c>
      <c r="I342" t="s">
        <v>72</v>
      </c>
      <c r="J342">
        <v>1</v>
      </c>
      <c r="K342">
        <v>34</v>
      </c>
    </row>
    <row r="343" spans="1:11" x14ac:dyDescent="0.35">
      <c r="A343" t="s">
        <v>445</v>
      </c>
      <c r="B343" s="4" t="s">
        <v>443</v>
      </c>
      <c r="C343">
        <v>7</v>
      </c>
      <c r="D343" t="s">
        <v>45</v>
      </c>
      <c r="E343" s="7">
        <v>-5</v>
      </c>
      <c r="F343">
        <v>-250</v>
      </c>
      <c r="G343">
        <v>1</v>
      </c>
      <c r="I343" t="s">
        <v>46</v>
      </c>
      <c r="J343">
        <v>1</v>
      </c>
      <c r="K343">
        <v>29</v>
      </c>
    </row>
    <row r="344" spans="1:11" x14ac:dyDescent="0.35">
      <c r="A344" t="s">
        <v>446</v>
      </c>
      <c r="B344" s="4" t="s">
        <v>443</v>
      </c>
      <c r="C344">
        <v>7</v>
      </c>
      <c r="D344" t="s">
        <v>45</v>
      </c>
      <c r="E344" s="7">
        <v>-4</v>
      </c>
      <c r="F344">
        <v>-200</v>
      </c>
      <c r="G344">
        <v>3</v>
      </c>
      <c r="I344" t="s">
        <v>46</v>
      </c>
      <c r="J344">
        <v>1</v>
      </c>
      <c r="K344">
        <v>25</v>
      </c>
    </row>
    <row r="345" spans="1:11" x14ac:dyDescent="0.35">
      <c r="A345" t="s">
        <v>447</v>
      </c>
      <c r="B345" s="4" t="s">
        <v>448</v>
      </c>
      <c r="C345">
        <v>30</v>
      </c>
      <c r="D345" t="s">
        <v>71</v>
      </c>
      <c r="E345" s="7">
        <v>24</v>
      </c>
      <c r="F345">
        <v>1200</v>
      </c>
      <c r="G345">
        <v>4</v>
      </c>
      <c r="H345">
        <v>2</v>
      </c>
      <c r="I345" t="s">
        <v>72</v>
      </c>
      <c r="J345">
        <v>1</v>
      </c>
      <c r="K345">
        <v>171</v>
      </c>
    </row>
    <row r="346" spans="1:11" x14ac:dyDescent="0.35">
      <c r="A346" t="s">
        <v>449</v>
      </c>
      <c r="B346" s="4" t="s">
        <v>448</v>
      </c>
      <c r="C346">
        <v>23</v>
      </c>
      <c r="D346" t="s">
        <v>71</v>
      </c>
      <c r="E346" s="7">
        <v>24</v>
      </c>
      <c r="F346">
        <v>1200</v>
      </c>
      <c r="G346">
        <v>4</v>
      </c>
      <c r="H346">
        <v>2</v>
      </c>
      <c r="I346" t="s">
        <v>72</v>
      </c>
      <c r="J346">
        <v>1</v>
      </c>
      <c r="K346">
        <v>166</v>
      </c>
    </row>
    <row r="347" spans="1:11" x14ac:dyDescent="0.35">
      <c r="A347" t="s">
        <v>450</v>
      </c>
      <c r="B347" s="4" t="s">
        <v>448</v>
      </c>
      <c r="C347">
        <v>7</v>
      </c>
      <c r="D347" t="s">
        <v>45</v>
      </c>
      <c r="E347" s="7">
        <v>-8</v>
      </c>
      <c r="F347">
        <v>-400</v>
      </c>
      <c r="G347">
        <v>1</v>
      </c>
      <c r="I347" t="s">
        <v>46</v>
      </c>
      <c r="J347">
        <v>1</v>
      </c>
      <c r="K347">
        <v>17</v>
      </c>
    </row>
    <row r="348" spans="1:11" x14ac:dyDescent="0.35">
      <c r="A348" t="s">
        <v>451</v>
      </c>
      <c r="B348" s="4" t="s">
        <v>448</v>
      </c>
      <c r="C348">
        <v>7</v>
      </c>
      <c r="D348" t="s">
        <v>45</v>
      </c>
      <c r="E348" s="7">
        <v>-9</v>
      </c>
      <c r="F348">
        <v>-450</v>
      </c>
      <c r="G348">
        <v>2</v>
      </c>
      <c r="I348" t="s">
        <v>46</v>
      </c>
      <c r="J348">
        <v>1</v>
      </c>
      <c r="K348">
        <v>8</v>
      </c>
    </row>
    <row r="349" spans="1:11" x14ac:dyDescent="0.35">
      <c r="A349" t="s">
        <v>452</v>
      </c>
      <c r="B349" s="4" t="s">
        <v>448</v>
      </c>
      <c r="C349">
        <v>7</v>
      </c>
      <c r="D349" t="s">
        <v>45</v>
      </c>
      <c r="E349" s="7">
        <v>-7</v>
      </c>
      <c r="F349">
        <v>-350</v>
      </c>
      <c r="G349">
        <v>3</v>
      </c>
      <c r="I349" t="s">
        <v>46</v>
      </c>
      <c r="J349">
        <v>1</v>
      </c>
      <c r="K349">
        <v>1</v>
      </c>
    </row>
    <row r="350" spans="1:11" x14ac:dyDescent="0.35">
      <c r="A350" t="s">
        <v>453</v>
      </c>
      <c r="B350" s="4" t="s">
        <v>454</v>
      </c>
      <c r="C350">
        <v>9</v>
      </c>
      <c r="D350" t="s">
        <v>71</v>
      </c>
      <c r="E350" s="7">
        <v>40</v>
      </c>
      <c r="F350">
        <v>2000</v>
      </c>
      <c r="G350">
        <v>4</v>
      </c>
      <c r="H350">
        <v>3</v>
      </c>
      <c r="I350" t="s">
        <v>72</v>
      </c>
      <c r="J350">
        <v>1</v>
      </c>
      <c r="K350">
        <v>41</v>
      </c>
    </row>
    <row r="351" spans="1:11" x14ac:dyDescent="0.35">
      <c r="A351" t="s">
        <v>455</v>
      </c>
      <c r="B351" s="4" t="s">
        <v>454</v>
      </c>
      <c r="C351">
        <v>31</v>
      </c>
      <c r="D351" t="s">
        <v>71</v>
      </c>
      <c r="E351" s="7">
        <v>38</v>
      </c>
      <c r="F351">
        <v>1900</v>
      </c>
      <c r="G351">
        <v>4</v>
      </c>
      <c r="H351">
        <v>3</v>
      </c>
      <c r="I351" t="s">
        <v>72</v>
      </c>
      <c r="J351">
        <v>1</v>
      </c>
      <c r="K351">
        <v>205</v>
      </c>
    </row>
    <row r="352" spans="1:11" x14ac:dyDescent="0.35">
      <c r="A352" t="s">
        <v>456</v>
      </c>
      <c r="B352" s="4" t="s">
        <v>454</v>
      </c>
      <c r="C352">
        <v>13</v>
      </c>
      <c r="D352" t="s">
        <v>71</v>
      </c>
      <c r="E352" s="7">
        <v>26</v>
      </c>
      <c r="F352">
        <v>1300</v>
      </c>
      <c r="G352">
        <v>4</v>
      </c>
      <c r="H352">
        <v>2</v>
      </c>
      <c r="I352" t="s">
        <v>72</v>
      </c>
      <c r="J352">
        <v>1</v>
      </c>
      <c r="K352">
        <v>163</v>
      </c>
    </row>
    <row r="353" spans="1:11" x14ac:dyDescent="0.35">
      <c r="A353" t="s">
        <v>457</v>
      </c>
      <c r="B353" s="4" t="s">
        <v>454</v>
      </c>
      <c r="C353">
        <v>32</v>
      </c>
      <c r="D353" t="s">
        <v>71</v>
      </c>
      <c r="E353" s="7">
        <v>37</v>
      </c>
      <c r="F353">
        <v>1850</v>
      </c>
      <c r="G353">
        <v>4</v>
      </c>
      <c r="H353">
        <v>4</v>
      </c>
      <c r="I353" t="s">
        <v>72</v>
      </c>
      <c r="J353">
        <v>1</v>
      </c>
      <c r="K353">
        <v>179</v>
      </c>
    </row>
    <row r="354" spans="1:11" x14ac:dyDescent="0.35">
      <c r="A354" t="s">
        <v>458</v>
      </c>
      <c r="B354" s="4" t="s">
        <v>454</v>
      </c>
      <c r="C354">
        <v>26</v>
      </c>
      <c r="D354" t="s">
        <v>71</v>
      </c>
      <c r="E354" s="7">
        <v>39</v>
      </c>
      <c r="F354">
        <v>1950</v>
      </c>
      <c r="G354">
        <v>4</v>
      </c>
      <c r="H354">
        <v>4</v>
      </c>
      <c r="I354" t="s">
        <v>72</v>
      </c>
      <c r="J354">
        <v>1</v>
      </c>
      <c r="K354">
        <v>278</v>
      </c>
    </row>
    <row r="355" spans="1:11" x14ac:dyDescent="0.35">
      <c r="A355" t="s">
        <v>459</v>
      </c>
      <c r="B355" s="4" t="s">
        <v>454</v>
      </c>
      <c r="C355">
        <v>9</v>
      </c>
      <c r="D355" t="s">
        <v>45</v>
      </c>
      <c r="E355" s="7">
        <v>-5</v>
      </c>
      <c r="F355">
        <v>-250</v>
      </c>
      <c r="G355">
        <v>1</v>
      </c>
      <c r="I355" t="s">
        <v>46</v>
      </c>
      <c r="J355">
        <v>1</v>
      </c>
      <c r="K355">
        <v>36</v>
      </c>
    </row>
    <row r="356" spans="1:11" x14ac:dyDescent="0.35">
      <c r="A356" t="s">
        <v>460</v>
      </c>
      <c r="B356" s="4" t="s">
        <v>454</v>
      </c>
      <c r="C356">
        <v>9</v>
      </c>
      <c r="D356" t="s">
        <v>45</v>
      </c>
      <c r="E356" s="7">
        <v>-3</v>
      </c>
      <c r="F356">
        <v>-150</v>
      </c>
      <c r="G356">
        <v>2</v>
      </c>
      <c r="I356" t="s">
        <v>46</v>
      </c>
      <c r="J356">
        <v>1</v>
      </c>
      <c r="K356">
        <v>33</v>
      </c>
    </row>
    <row r="357" spans="1:11" x14ac:dyDescent="0.35">
      <c r="A357" t="s">
        <v>461</v>
      </c>
      <c r="B357" s="4" t="s">
        <v>454</v>
      </c>
      <c r="C357">
        <v>9</v>
      </c>
      <c r="D357" t="s">
        <v>45</v>
      </c>
      <c r="E357" s="7">
        <v>-4</v>
      </c>
      <c r="F357">
        <v>-200</v>
      </c>
      <c r="G357">
        <v>3</v>
      </c>
      <c r="I357" t="s">
        <v>46</v>
      </c>
      <c r="J357">
        <v>1</v>
      </c>
      <c r="K357">
        <v>29</v>
      </c>
    </row>
    <row r="358" spans="1:11" x14ac:dyDescent="0.35">
      <c r="A358" t="s">
        <v>462</v>
      </c>
      <c r="B358" s="4" t="s">
        <v>463</v>
      </c>
      <c r="C358">
        <v>13</v>
      </c>
      <c r="D358" t="s">
        <v>71</v>
      </c>
      <c r="E358" s="7">
        <v>40</v>
      </c>
      <c r="F358">
        <v>2000</v>
      </c>
      <c r="G358">
        <v>4</v>
      </c>
      <c r="H358">
        <v>2</v>
      </c>
      <c r="I358" t="s">
        <v>72</v>
      </c>
      <c r="J358">
        <v>1</v>
      </c>
      <c r="K358">
        <v>203</v>
      </c>
    </row>
    <row r="359" spans="1:11" x14ac:dyDescent="0.35">
      <c r="A359" t="s">
        <v>464</v>
      </c>
      <c r="B359" s="4" t="s">
        <v>463</v>
      </c>
      <c r="C359">
        <v>18</v>
      </c>
      <c r="D359" t="s">
        <v>71</v>
      </c>
      <c r="E359" s="7">
        <v>50</v>
      </c>
      <c r="F359">
        <v>2500</v>
      </c>
      <c r="G359">
        <v>4</v>
      </c>
      <c r="H359">
        <v>4</v>
      </c>
      <c r="I359" t="s">
        <v>72</v>
      </c>
      <c r="J359">
        <v>1</v>
      </c>
      <c r="K359">
        <v>198</v>
      </c>
    </row>
    <row r="360" spans="1:11" x14ac:dyDescent="0.35">
      <c r="A360" t="s">
        <v>465</v>
      </c>
      <c r="B360" s="4" t="s">
        <v>463</v>
      </c>
      <c r="C360">
        <v>4</v>
      </c>
      <c r="D360" t="s">
        <v>71</v>
      </c>
      <c r="E360" s="7">
        <v>20</v>
      </c>
      <c r="F360">
        <v>1000</v>
      </c>
      <c r="G360">
        <v>4</v>
      </c>
      <c r="H360">
        <v>3</v>
      </c>
      <c r="I360" t="s">
        <v>72</v>
      </c>
      <c r="J360">
        <v>1</v>
      </c>
      <c r="K360">
        <v>21</v>
      </c>
    </row>
    <row r="361" spans="1:11" x14ac:dyDescent="0.35">
      <c r="A361" t="s">
        <v>466</v>
      </c>
      <c r="B361" s="4" t="s">
        <v>463</v>
      </c>
      <c r="C361">
        <v>30</v>
      </c>
      <c r="D361" t="s">
        <v>71</v>
      </c>
      <c r="E361" s="7">
        <v>22</v>
      </c>
      <c r="F361">
        <v>1100</v>
      </c>
      <c r="G361">
        <v>4</v>
      </c>
      <c r="H361">
        <v>2</v>
      </c>
      <c r="I361" t="s">
        <v>72</v>
      </c>
      <c r="J361">
        <v>1</v>
      </c>
      <c r="K361">
        <v>193</v>
      </c>
    </row>
    <row r="362" spans="1:11" x14ac:dyDescent="0.35">
      <c r="A362" t="s">
        <v>467</v>
      </c>
      <c r="B362" s="4" t="s">
        <v>463</v>
      </c>
      <c r="C362">
        <v>4</v>
      </c>
      <c r="D362" t="s">
        <v>45</v>
      </c>
      <c r="E362" s="7">
        <v>-9</v>
      </c>
      <c r="F362">
        <v>-450</v>
      </c>
      <c r="G362">
        <v>1</v>
      </c>
      <c r="I362" t="s">
        <v>46</v>
      </c>
      <c r="J362">
        <v>1</v>
      </c>
      <c r="K362">
        <v>12</v>
      </c>
    </row>
    <row r="363" spans="1:11" x14ac:dyDescent="0.35">
      <c r="A363" t="s">
        <v>468</v>
      </c>
      <c r="B363" s="4" t="s">
        <v>463</v>
      </c>
      <c r="C363">
        <v>9</v>
      </c>
      <c r="D363" t="s">
        <v>45</v>
      </c>
      <c r="E363" s="7">
        <v>-5</v>
      </c>
      <c r="F363">
        <v>-250</v>
      </c>
      <c r="G363">
        <v>1</v>
      </c>
      <c r="I363" t="s">
        <v>46</v>
      </c>
      <c r="J363">
        <v>1</v>
      </c>
      <c r="K363">
        <v>24</v>
      </c>
    </row>
    <row r="364" spans="1:11" x14ac:dyDescent="0.35">
      <c r="A364" t="s">
        <v>469</v>
      </c>
      <c r="B364" s="4" t="s">
        <v>463</v>
      </c>
      <c r="C364">
        <v>4</v>
      </c>
      <c r="D364" t="s">
        <v>45</v>
      </c>
      <c r="E364" s="7">
        <v>-5</v>
      </c>
      <c r="F364">
        <v>-250</v>
      </c>
      <c r="G364">
        <v>2</v>
      </c>
      <c r="I364" t="s">
        <v>46</v>
      </c>
      <c r="J364">
        <v>1</v>
      </c>
      <c r="K364">
        <v>7</v>
      </c>
    </row>
    <row r="365" spans="1:11" x14ac:dyDescent="0.35">
      <c r="A365" t="s">
        <v>470</v>
      </c>
      <c r="B365" s="4" t="s">
        <v>463</v>
      </c>
      <c r="C365">
        <v>9</v>
      </c>
      <c r="D365" t="s">
        <v>45</v>
      </c>
      <c r="E365" s="7">
        <v>-7</v>
      </c>
      <c r="F365">
        <v>-350</v>
      </c>
      <c r="G365">
        <v>2</v>
      </c>
      <c r="I365" t="s">
        <v>46</v>
      </c>
      <c r="J365">
        <v>1</v>
      </c>
      <c r="K365">
        <v>17</v>
      </c>
    </row>
    <row r="366" spans="1:11" x14ac:dyDescent="0.35">
      <c r="A366" t="s">
        <v>471</v>
      </c>
      <c r="B366" s="4" t="s">
        <v>463</v>
      </c>
      <c r="C366">
        <v>4</v>
      </c>
      <c r="D366" t="s">
        <v>45</v>
      </c>
      <c r="E366" s="7">
        <v>-4</v>
      </c>
      <c r="F366">
        <v>-200</v>
      </c>
      <c r="G366">
        <v>3</v>
      </c>
      <c r="I366" t="s">
        <v>46</v>
      </c>
      <c r="J366">
        <v>1</v>
      </c>
      <c r="K366">
        <v>3</v>
      </c>
    </row>
    <row r="367" spans="1:11" x14ac:dyDescent="0.35">
      <c r="A367" t="s">
        <v>472</v>
      </c>
      <c r="B367" s="4" t="s">
        <v>463</v>
      </c>
      <c r="C367">
        <v>9</v>
      </c>
      <c r="D367" t="s">
        <v>45</v>
      </c>
      <c r="E367" s="7">
        <v>-8</v>
      </c>
      <c r="F367">
        <v>-400</v>
      </c>
      <c r="G367">
        <v>3</v>
      </c>
      <c r="I367" t="s">
        <v>46</v>
      </c>
      <c r="J367">
        <v>1</v>
      </c>
      <c r="K367">
        <v>9</v>
      </c>
    </row>
    <row r="368" spans="1:11" x14ac:dyDescent="0.35">
      <c r="A368" t="s">
        <v>473</v>
      </c>
      <c r="B368" s="4" t="s">
        <v>474</v>
      </c>
      <c r="C368">
        <v>12</v>
      </c>
      <c r="D368" t="s">
        <v>45</v>
      </c>
      <c r="E368" s="7">
        <v>-3</v>
      </c>
      <c r="F368">
        <v>-150</v>
      </c>
      <c r="G368">
        <v>1</v>
      </c>
      <c r="I368" t="s">
        <v>46</v>
      </c>
      <c r="J368">
        <v>1</v>
      </c>
      <c r="K368">
        <v>0</v>
      </c>
    </row>
    <row r="369" spans="1:11" x14ac:dyDescent="0.35">
      <c r="A369" t="s">
        <v>475</v>
      </c>
      <c r="B369" s="4" t="s">
        <v>474</v>
      </c>
      <c r="C369">
        <v>9</v>
      </c>
      <c r="D369" t="s">
        <v>45</v>
      </c>
      <c r="E369" s="7">
        <v>-9</v>
      </c>
      <c r="F369">
        <v>-450</v>
      </c>
      <c r="G369">
        <v>2</v>
      </c>
      <c r="I369" t="s">
        <v>46</v>
      </c>
      <c r="J369">
        <v>1</v>
      </c>
      <c r="K369">
        <v>0</v>
      </c>
    </row>
    <row r="370" spans="1:11" x14ac:dyDescent="0.35">
      <c r="A370" t="s">
        <v>476</v>
      </c>
      <c r="B370" s="4" t="s">
        <v>477</v>
      </c>
      <c r="C370">
        <v>4</v>
      </c>
      <c r="D370" t="s">
        <v>45</v>
      </c>
      <c r="E370" s="7">
        <v>-3</v>
      </c>
      <c r="F370">
        <v>-150</v>
      </c>
      <c r="G370">
        <v>2</v>
      </c>
      <c r="I370" t="s">
        <v>46</v>
      </c>
      <c r="J370">
        <v>1</v>
      </c>
      <c r="K370">
        <v>0</v>
      </c>
    </row>
    <row r="371" spans="1:11" x14ac:dyDescent="0.35">
      <c r="A371" t="s">
        <v>478</v>
      </c>
      <c r="B371" s="4" t="s">
        <v>479</v>
      </c>
      <c r="C371">
        <v>30</v>
      </c>
      <c r="D371" t="s">
        <v>71</v>
      </c>
      <c r="E371" s="7">
        <v>27</v>
      </c>
      <c r="F371">
        <v>1350</v>
      </c>
      <c r="G371">
        <v>4</v>
      </c>
      <c r="H371">
        <v>2</v>
      </c>
      <c r="I371" t="s">
        <v>72</v>
      </c>
      <c r="J371">
        <v>1</v>
      </c>
      <c r="K371">
        <v>220</v>
      </c>
    </row>
    <row r="372" spans="1:11" x14ac:dyDescent="0.35">
      <c r="A372" t="s">
        <v>480</v>
      </c>
      <c r="B372" s="4" t="s">
        <v>479</v>
      </c>
      <c r="C372">
        <v>27</v>
      </c>
      <c r="D372" t="s">
        <v>71</v>
      </c>
      <c r="E372" s="7">
        <v>48</v>
      </c>
      <c r="F372">
        <v>2400</v>
      </c>
      <c r="G372">
        <v>4</v>
      </c>
      <c r="H372">
        <v>4</v>
      </c>
      <c r="I372" t="s">
        <v>72</v>
      </c>
      <c r="J372">
        <v>1</v>
      </c>
      <c r="K372">
        <v>172</v>
      </c>
    </row>
    <row r="373" spans="1:11" x14ac:dyDescent="0.35">
      <c r="A373" t="s">
        <v>481</v>
      </c>
      <c r="B373" s="4" t="s">
        <v>479</v>
      </c>
      <c r="C373">
        <v>29</v>
      </c>
      <c r="D373" t="s">
        <v>71</v>
      </c>
      <c r="E373" s="7">
        <v>37</v>
      </c>
      <c r="F373">
        <v>1850</v>
      </c>
      <c r="G373">
        <v>4</v>
      </c>
      <c r="H373">
        <v>4</v>
      </c>
      <c r="I373" t="s">
        <v>72</v>
      </c>
      <c r="J373">
        <v>1</v>
      </c>
      <c r="K373">
        <v>164</v>
      </c>
    </row>
    <row r="374" spans="1:11" x14ac:dyDescent="0.35">
      <c r="A374" t="s">
        <v>482</v>
      </c>
      <c r="B374" s="4" t="s">
        <v>479</v>
      </c>
      <c r="C374">
        <v>6</v>
      </c>
      <c r="D374" t="s">
        <v>71</v>
      </c>
      <c r="E374" s="7">
        <v>28</v>
      </c>
      <c r="F374">
        <v>1400</v>
      </c>
      <c r="G374">
        <v>4</v>
      </c>
      <c r="H374">
        <v>4</v>
      </c>
      <c r="I374" t="s">
        <v>72</v>
      </c>
      <c r="J374">
        <v>1</v>
      </c>
      <c r="K374">
        <v>30</v>
      </c>
    </row>
    <row r="375" spans="1:11" x14ac:dyDescent="0.35">
      <c r="A375" t="s">
        <v>483</v>
      </c>
      <c r="B375" s="4" t="s">
        <v>479</v>
      </c>
      <c r="C375">
        <v>1</v>
      </c>
      <c r="D375" t="s">
        <v>71</v>
      </c>
      <c r="E375" s="7">
        <v>43</v>
      </c>
      <c r="F375">
        <v>2150</v>
      </c>
      <c r="G375">
        <v>4</v>
      </c>
      <c r="H375">
        <v>1</v>
      </c>
      <c r="I375" t="s">
        <v>72</v>
      </c>
      <c r="J375">
        <v>1</v>
      </c>
      <c r="K375">
        <v>43</v>
      </c>
    </row>
    <row r="376" spans="1:11" x14ac:dyDescent="0.35">
      <c r="A376" t="s">
        <v>484</v>
      </c>
      <c r="B376" s="4" t="s">
        <v>479</v>
      </c>
      <c r="C376">
        <v>1</v>
      </c>
      <c r="D376" t="s">
        <v>45</v>
      </c>
      <c r="E376" s="7">
        <v>-9</v>
      </c>
      <c r="F376">
        <v>-225</v>
      </c>
      <c r="G376">
        <v>1</v>
      </c>
      <c r="I376" t="s">
        <v>46</v>
      </c>
      <c r="J376">
        <v>1</v>
      </c>
      <c r="K376">
        <v>34</v>
      </c>
    </row>
    <row r="377" spans="1:11" x14ac:dyDescent="0.35">
      <c r="A377" t="s">
        <v>485</v>
      </c>
      <c r="B377" s="4" t="s">
        <v>479</v>
      </c>
      <c r="C377">
        <v>6</v>
      </c>
      <c r="D377" t="s">
        <v>45</v>
      </c>
      <c r="E377" s="7">
        <v>-5</v>
      </c>
      <c r="F377">
        <v>-250</v>
      </c>
      <c r="G377">
        <v>1</v>
      </c>
      <c r="I377" t="s">
        <v>46</v>
      </c>
      <c r="J377">
        <v>1</v>
      </c>
      <c r="K377">
        <v>25</v>
      </c>
    </row>
    <row r="378" spans="1:11" x14ac:dyDescent="0.35">
      <c r="A378" t="s">
        <v>486</v>
      </c>
      <c r="B378" s="4" t="s">
        <v>479</v>
      </c>
      <c r="C378">
        <v>1</v>
      </c>
      <c r="D378" t="s">
        <v>45</v>
      </c>
      <c r="E378" s="7">
        <v>-8</v>
      </c>
      <c r="F378">
        <v>-200</v>
      </c>
      <c r="G378">
        <v>3</v>
      </c>
      <c r="I378" t="s">
        <v>62</v>
      </c>
      <c r="J378">
        <v>1</v>
      </c>
      <c r="K378">
        <v>26</v>
      </c>
    </row>
    <row r="379" spans="1:11" x14ac:dyDescent="0.35">
      <c r="A379" t="s">
        <v>487</v>
      </c>
      <c r="B379" s="4" t="s">
        <v>479</v>
      </c>
      <c r="C379">
        <v>6</v>
      </c>
      <c r="D379" t="s">
        <v>45</v>
      </c>
      <c r="E379" s="7">
        <v>-5</v>
      </c>
      <c r="F379">
        <v>-250</v>
      </c>
      <c r="G379">
        <v>3</v>
      </c>
      <c r="I379" t="s">
        <v>46</v>
      </c>
      <c r="J379">
        <v>1</v>
      </c>
      <c r="K379">
        <v>20</v>
      </c>
    </row>
    <row r="380" spans="1:11" x14ac:dyDescent="0.35">
      <c r="A380" t="s">
        <v>488</v>
      </c>
      <c r="B380" s="4" t="s">
        <v>489</v>
      </c>
      <c r="C380">
        <v>6</v>
      </c>
      <c r="D380" t="s">
        <v>45</v>
      </c>
      <c r="E380" s="7">
        <v>-9</v>
      </c>
      <c r="F380">
        <v>-450</v>
      </c>
      <c r="G380">
        <v>1</v>
      </c>
      <c r="I380" t="s">
        <v>46</v>
      </c>
      <c r="J380">
        <v>1</v>
      </c>
      <c r="K380">
        <v>11</v>
      </c>
    </row>
    <row r="381" spans="1:11" x14ac:dyDescent="0.35">
      <c r="A381" t="s">
        <v>490</v>
      </c>
      <c r="B381" s="4" t="s">
        <v>489</v>
      </c>
      <c r="C381">
        <v>1</v>
      </c>
      <c r="D381" t="s">
        <v>45</v>
      </c>
      <c r="E381" s="7">
        <v>-14</v>
      </c>
      <c r="F381">
        <v>-350</v>
      </c>
      <c r="G381">
        <v>2</v>
      </c>
      <c r="I381" t="s">
        <v>54</v>
      </c>
      <c r="J381">
        <v>1</v>
      </c>
      <c r="K381">
        <v>12</v>
      </c>
    </row>
    <row r="382" spans="1:11" x14ac:dyDescent="0.35">
      <c r="A382" t="s">
        <v>491</v>
      </c>
      <c r="B382" s="4" t="s">
        <v>489</v>
      </c>
      <c r="C382">
        <v>6</v>
      </c>
      <c r="D382" t="s">
        <v>45</v>
      </c>
      <c r="E382" s="7">
        <v>-5</v>
      </c>
      <c r="F382">
        <v>-250</v>
      </c>
      <c r="G382">
        <v>2</v>
      </c>
      <c r="I382" t="s">
        <v>46</v>
      </c>
      <c r="J382">
        <v>1</v>
      </c>
      <c r="K382">
        <v>6</v>
      </c>
    </row>
    <row r="383" spans="1:11" x14ac:dyDescent="0.35">
      <c r="A383" t="s">
        <v>492</v>
      </c>
      <c r="B383" s="4" t="s">
        <v>489</v>
      </c>
      <c r="C383">
        <v>1</v>
      </c>
      <c r="D383" t="s">
        <v>45</v>
      </c>
      <c r="E383" s="7">
        <v>-9</v>
      </c>
      <c r="F383">
        <v>-225</v>
      </c>
      <c r="G383">
        <v>3</v>
      </c>
      <c r="I383" t="s">
        <v>62</v>
      </c>
      <c r="J383">
        <v>1</v>
      </c>
      <c r="K383">
        <v>3</v>
      </c>
    </row>
    <row r="384" spans="1:11" x14ac:dyDescent="0.35">
      <c r="A384" t="s">
        <v>493</v>
      </c>
      <c r="B384" s="4" t="s">
        <v>494</v>
      </c>
      <c r="C384">
        <v>35</v>
      </c>
      <c r="D384" t="s">
        <v>71</v>
      </c>
      <c r="E384" s="7">
        <v>47</v>
      </c>
      <c r="F384">
        <v>2350</v>
      </c>
      <c r="G384">
        <v>4</v>
      </c>
      <c r="H384">
        <v>3</v>
      </c>
      <c r="I384" t="s">
        <v>72</v>
      </c>
      <c r="J384">
        <v>1</v>
      </c>
      <c r="K384">
        <v>147</v>
      </c>
    </row>
    <row r="385" spans="1:11" x14ac:dyDescent="0.35">
      <c r="A385" t="s">
        <v>495</v>
      </c>
      <c r="B385" s="4" t="s">
        <v>494</v>
      </c>
      <c r="C385">
        <v>11</v>
      </c>
      <c r="D385" t="s">
        <v>71</v>
      </c>
      <c r="E385" s="7">
        <v>45</v>
      </c>
      <c r="F385">
        <v>2250</v>
      </c>
      <c r="G385">
        <v>4</v>
      </c>
      <c r="H385">
        <v>4</v>
      </c>
      <c r="I385" t="s">
        <v>72</v>
      </c>
      <c r="J385">
        <v>1</v>
      </c>
      <c r="K385">
        <v>45</v>
      </c>
    </row>
    <row r="386" spans="1:11" x14ac:dyDescent="0.35">
      <c r="A386" t="s">
        <v>496</v>
      </c>
      <c r="B386" s="4" t="s">
        <v>494</v>
      </c>
      <c r="C386">
        <v>25</v>
      </c>
      <c r="D386" t="s">
        <v>71</v>
      </c>
      <c r="E386" s="7">
        <v>44</v>
      </c>
      <c r="F386">
        <v>2200</v>
      </c>
      <c r="G386">
        <v>4</v>
      </c>
      <c r="H386">
        <v>4</v>
      </c>
      <c r="I386" t="s">
        <v>72</v>
      </c>
      <c r="J386">
        <v>1</v>
      </c>
      <c r="K386">
        <v>173</v>
      </c>
    </row>
    <row r="387" spans="1:11" x14ac:dyDescent="0.35">
      <c r="A387" t="s">
        <v>497</v>
      </c>
      <c r="B387" s="4" t="s">
        <v>494</v>
      </c>
      <c r="C387">
        <v>12</v>
      </c>
      <c r="D387" t="s">
        <v>71</v>
      </c>
      <c r="E387" s="7">
        <v>29</v>
      </c>
      <c r="F387">
        <v>1450</v>
      </c>
      <c r="G387">
        <v>4</v>
      </c>
      <c r="H387">
        <v>3</v>
      </c>
      <c r="I387" t="s">
        <v>72</v>
      </c>
      <c r="J387">
        <v>1</v>
      </c>
      <c r="K387">
        <v>29</v>
      </c>
    </row>
    <row r="388" spans="1:11" x14ac:dyDescent="0.35">
      <c r="A388" t="s">
        <v>498</v>
      </c>
      <c r="B388" s="4" t="s">
        <v>494</v>
      </c>
      <c r="C388">
        <v>8</v>
      </c>
      <c r="D388" t="s">
        <v>71</v>
      </c>
      <c r="E388" s="7">
        <v>42</v>
      </c>
      <c r="F388">
        <v>2100</v>
      </c>
      <c r="G388">
        <v>4</v>
      </c>
      <c r="H388">
        <v>4</v>
      </c>
      <c r="I388" t="s">
        <v>72</v>
      </c>
      <c r="J388">
        <v>1</v>
      </c>
      <c r="K388">
        <v>43</v>
      </c>
    </row>
    <row r="389" spans="1:11" x14ac:dyDescent="0.35">
      <c r="A389" t="s">
        <v>499</v>
      </c>
      <c r="B389" s="4" t="s">
        <v>494</v>
      </c>
      <c r="C389">
        <v>8</v>
      </c>
      <c r="D389" t="s">
        <v>45</v>
      </c>
      <c r="E389" s="7">
        <v>-4</v>
      </c>
      <c r="F389">
        <v>-200</v>
      </c>
      <c r="G389">
        <v>1</v>
      </c>
      <c r="I389" t="s">
        <v>46</v>
      </c>
      <c r="J389">
        <v>1</v>
      </c>
      <c r="K389">
        <v>39</v>
      </c>
    </row>
    <row r="390" spans="1:11" x14ac:dyDescent="0.35">
      <c r="A390" t="s">
        <v>500</v>
      </c>
      <c r="B390" s="4" t="s">
        <v>494</v>
      </c>
      <c r="C390">
        <v>11</v>
      </c>
      <c r="D390" t="s">
        <v>45</v>
      </c>
      <c r="E390" s="7">
        <v>-6</v>
      </c>
      <c r="F390">
        <v>-300</v>
      </c>
      <c r="G390">
        <v>1</v>
      </c>
      <c r="I390" t="s">
        <v>46</v>
      </c>
      <c r="J390">
        <v>1</v>
      </c>
      <c r="K390">
        <v>39</v>
      </c>
    </row>
    <row r="391" spans="1:11" x14ac:dyDescent="0.35">
      <c r="A391" t="s">
        <v>501</v>
      </c>
      <c r="B391" s="4" t="s">
        <v>494</v>
      </c>
      <c r="C391">
        <v>12</v>
      </c>
      <c r="D391" t="s">
        <v>45</v>
      </c>
      <c r="E391" s="7">
        <v>-9</v>
      </c>
      <c r="F391">
        <v>-450</v>
      </c>
      <c r="G391">
        <v>1</v>
      </c>
      <c r="I391" t="s">
        <v>46</v>
      </c>
      <c r="J391">
        <v>1</v>
      </c>
      <c r="K391">
        <v>20</v>
      </c>
    </row>
    <row r="392" spans="1:11" x14ac:dyDescent="0.35">
      <c r="A392" t="s">
        <v>502</v>
      </c>
      <c r="B392" s="4" t="s">
        <v>494</v>
      </c>
      <c r="C392">
        <v>8</v>
      </c>
      <c r="D392" t="s">
        <v>45</v>
      </c>
      <c r="E392" s="7">
        <v>-7</v>
      </c>
      <c r="F392">
        <v>-350</v>
      </c>
      <c r="G392">
        <v>2</v>
      </c>
      <c r="I392" t="s">
        <v>46</v>
      </c>
      <c r="J392">
        <v>1</v>
      </c>
      <c r="K392">
        <v>32</v>
      </c>
    </row>
    <row r="393" spans="1:11" x14ac:dyDescent="0.35">
      <c r="A393" t="s">
        <v>503</v>
      </c>
      <c r="B393" s="4" t="s">
        <v>494</v>
      </c>
      <c r="C393">
        <v>12</v>
      </c>
      <c r="D393" t="s">
        <v>45</v>
      </c>
      <c r="E393" s="7">
        <v>-3</v>
      </c>
      <c r="F393">
        <v>-150</v>
      </c>
      <c r="G393">
        <v>2</v>
      </c>
      <c r="I393" t="s">
        <v>46</v>
      </c>
      <c r="J393">
        <v>1</v>
      </c>
      <c r="K393">
        <v>17</v>
      </c>
    </row>
    <row r="394" spans="1:11" x14ac:dyDescent="0.35">
      <c r="A394" t="s">
        <v>504</v>
      </c>
      <c r="B394" s="4" t="s">
        <v>494</v>
      </c>
      <c r="C394">
        <v>8</v>
      </c>
      <c r="D394" t="s">
        <v>45</v>
      </c>
      <c r="E394" s="7">
        <v>-9</v>
      </c>
      <c r="F394">
        <v>-450</v>
      </c>
      <c r="G394">
        <v>3</v>
      </c>
      <c r="I394" t="s">
        <v>46</v>
      </c>
      <c r="J394">
        <v>1</v>
      </c>
      <c r="K394">
        <v>23</v>
      </c>
    </row>
    <row r="395" spans="1:11" x14ac:dyDescent="0.35">
      <c r="A395" t="s">
        <v>505</v>
      </c>
      <c r="B395" s="4" t="s">
        <v>494</v>
      </c>
      <c r="C395">
        <v>11</v>
      </c>
      <c r="D395" t="s">
        <v>45</v>
      </c>
      <c r="E395" s="7">
        <v>-7</v>
      </c>
      <c r="F395">
        <v>-350</v>
      </c>
      <c r="G395">
        <v>3</v>
      </c>
      <c r="I395" t="s">
        <v>46</v>
      </c>
      <c r="J395">
        <v>1</v>
      </c>
      <c r="K395">
        <v>32</v>
      </c>
    </row>
    <row r="396" spans="1:11" x14ac:dyDescent="0.35">
      <c r="A396" t="s">
        <v>506</v>
      </c>
      <c r="B396" s="4" t="s">
        <v>494</v>
      </c>
      <c r="C396">
        <v>12</v>
      </c>
      <c r="D396" t="s">
        <v>45</v>
      </c>
      <c r="E396" s="7">
        <v>-6</v>
      </c>
      <c r="F396">
        <v>-300</v>
      </c>
      <c r="G396">
        <v>3</v>
      </c>
      <c r="I396" t="s">
        <v>46</v>
      </c>
      <c r="J396">
        <v>1</v>
      </c>
      <c r="K396">
        <v>11</v>
      </c>
    </row>
    <row r="397" spans="1:11" x14ac:dyDescent="0.35">
      <c r="A397" t="s">
        <v>507</v>
      </c>
      <c r="B397" s="4" t="s">
        <v>508</v>
      </c>
      <c r="C397">
        <v>8</v>
      </c>
      <c r="D397" t="s">
        <v>45</v>
      </c>
      <c r="E397" s="7">
        <v>-4</v>
      </c>
      <c r="F397">
        <v>-200</v>
      </c>
      <c r="G397">
        <v>1</v>
      </c>
      <c r="I397" t="s">
        <v>46</v>
      </c>
      <c r="J397">
        <v>1</v>
      </c>
      <c r="K397">
        <v>19</v>
      </c>
    </row>
    <row r="398" spans="1:11" x14ac:dyDescent="0.35">
      <c r="A398" t="s">
        <v>509</v>
      </c>
      <c r="B398" s="4" t="s">
        <v>508</v>
      </c>
      <c r="C398">
        <v>11</v>
      </c>
      <c r="D398" t="s">
        <v>45</v>
      </c>
      <c r="E398" s="7">
        <v>-3</v>
      </c>
      <c r="F398">
        <v>-150</v>
      </c>
      <c r="G398">
        <v>1</v>
      </c>
      <c r="I398" t="s">
        <v>46</v>
      </c>
      <c r="J398">
        <v>1</v>
      </c>
      <c r="K398">
        <v>29</v>
      </c>
    </row>
    <row r="399" spans="1:11" x14ac:dyDescent="0.35">
      <c r="A399" t="s">
        <v>510</v>
      </c>
      <c r="B399" s="4" t="s">
        <v>508</v>
      </c>
      <c r="C399">
        <v>8</v>
      </c>
      <c r="D399" t="s">
        <v>45</v>
      </c>
      <c r="E399" s="7">
        <v>-5</v>
      </c>
      <c r="F399">
        <v>-250</v>
      </c>
      <c r="G399">
        <v>2</v>
      </c>
      <c r="I399" t="s">
        <v>46</v>
      </c>
      <c r="J399">
        <v>1</v>
      </c>
      <c r="K399">
        <v>14</v>
      </c>
    </row>
    <row r="400" spans="1:11" x14ac:dyDescent="0.35">
      <c r="A400" t="s">
        <v>511</v>
      </c>
      <c r="B400" s="4" t="s">
        <v>508</v>
      </c>
      <c r="C400">
        <v>11</v>
      </c>
      <c r="D400" t="s">
        <v>45</v>
      </c>
      <c r="E400" s="7">
        <v>-7</v>
      </c>
      <c r="F400">
        <v>-350</v>
      </c>
      <c r="G400">
        <v>2</v>
      </c>
      <c r="I400" t="s">
        <v>46</v>
      </c>
      <c r="J400">
        <v>1</v>
      </c>
      <c r="K400">
        <v>22</v>
      </c>
    </row>
    <row r="401" spans="1:11" x14ac:dyDescent="0.35">
      <c r="A401" t="s">
        <v>512</v>
      </c>
      <c r="B401" s="4" t="s">
        <v>508</v>
      </c>
      <c r="C401">
        <v>8</v>
      </c>
      <c r="D401" t="s">
        <v>45</v>
      </c>
      <c r="E401" s="7">
        <v>-4</v>
      </c>
      <c r="F401">
        <v>-200</v>
      </c>
      <c r="G401">
        <v>3</v>
      </c>
      <c r="I401" t="s">
        <v>46</v>
      </c>
      <c r="J401">
        <v>1</v>
      </c>
      <c r="K401">
        <v>10</v>
      </c>
    </row>
    <row r="402" spans="1:11" x14ac:dyDescent="0.35">
      <c r="A402" t="s">
        <v>513</v>
      </c>
      <c r="B402" s="4" t="s">
        <v>514</v>
      </c>
      <c r="C402">
        <v>8</v>
      </c>
      <c r="D402" t="s">
        <v>45</v>
      </c>
      <c r="E402" s="7">
        <v>-3</v>
      </c>
      <c r="F402">
        <v>-150</v>
      </c>
      <c r="G402">
        <v>1</v>
      </c>
      <c r="I402" t="s">
        <v>46</v>
      </c>
      <c r="J402">
        <v>1</v>
      </c>
      <c r="K402">
        <v>7</v>
      </c>
    </row>
    <row r="403" spans="1:11" x14ac:dyDescent="0.35">
      <c r="A403" t="s">
        <v>515</v>
      </c>
      <c r="B403" s="4" t="s">
        <v>514</v>
      </c>
      <c r="C403">
        <v>12</v>
      </c>
      <c r="D403" t="s">
        <v>45</v>
      </c>
      <c r="E403" s="7">
        <v>-7</v>
      </c>
      <c r="F403">
        <v>-350</v>
      </c>
      <c r="G403">
        <v>1</v>
      </c>
      <c r="I403" t="s">
        <v>46</v>
      </c>
      <c r="J403">
        <v>1</v>
      </c>
      <c r="K403">
        <v>4</v>
      </c>
    </row>
    <row r="404" spans="1:11" x14ac:dyDescent="0.35">
      <c r="A404" t="s">
        <v>516</v>
      </c>
      <c r="B404" s="4" t="s">
        <v>514</v>
      </c>
      <c r="C404">
        <v>6</v>
      </c>
      <c r="D404" t="s">
        <v>45</v>
      </c>
      <c r="E404" s="7">
        <v>-6</v>
      </c>
      <c r="F404">
        <v>-300</v>
      </c>
      <c r="G404">
        <v>3</v>
      </c>
      <c r="I404" t="s">
        <v>46</v>
      </c>
      <c r="J404">
        <v>1</v>
      </c>
      <c r="K404">
        <v>0</v>
      </c>
    </row>
    <row r="405" spans="1:11" x14ac:dyDescent="0.35">
      <c r="A405" t="s">
        <v>517</v>
      </c>
      <c r="B405" s="4" t="s">
        <v>514</v>
      </c>
      <c r="C405">
        <v>11</v>
      </c>
      <c r="D405" t="s">
        <v>45</v>
      </c>
      <c r="E405" s="7">
        <v>-3</v>
      </c>
      <c r="F405">
        <v>-150</v>
      </c>
      <c r="G405">
        <v>3</v>
      </c>
      <c r="I405" t="s">
        <v>46</v>
      </c>
      <c r="J405">
        <v>1</v>
      </c>
      <c r="K405">
        <v>19</v>
      </c>
    </row>
    <row r="406" spans="1:11" x14ac:dyDescent="0.35">
      <c r="A406" t="s">
        <v>518</v>
      </c>
      <c r="B406" s="4" t="s">
        <v>519</v>
      </c>
      <c r="C406">
        <v>8</v>
      </c>
      <c r="D406" t="s">
        <v>45</v>
      </c>
      <c r="E406" s="7">
        <v>-4</v>
      </c>
      <c r="F406">
        <v>-200</v>
      </c>
      <c r="G406">
        <v>1</v>
      </c>
      <c r="I406" t="s">
        <v>46</v>
      </c>
      <c r="J406">
        <v>1</v>
      </c>
      <c r="K406">
        <v>3</v>
      </c>
    </row>
    <row r="407" spans="1:11" x14ac:dyDescent="0.35">
      <c r="A407" t="s">
        <v>520</v>
      </c>
      <c r="B407" s="4" t="s">
        <v>519</v>
      </c>
      <c r="C407">
        <v>11</v>
      </c>
      <c r="D407" t="s">
        <v>45</v>
      </c>
      <c r="E407" s="7">
        <v>-9</v>
      </c>
      <c r="F407">
        <v>-450</v>
      </c>
      <c r="G407">
        <v>3</v>
      </c>
      <c r="I407" t="s">
        <v>46</v>
      </c>
      <c r="J407">
        <v>1</v>
      </c>
      <c r="K407">
        <v>10</v>
      </c>
    </row>
    <row r="408" spans="1:11" x14ac:dyDescent="0.35">
      <c r="A408" t="s">
        <v>521</v>
      </c>
      <c r="B408" s="4" t="s">
        <v>519</v>
      </c>
      <c r="C408">
        <v>12</v>
      </c>
      <c r="D408" t="s">
        <v>45</v>
      </c>
      <c r="E408" s="7">
        <v>-4</v>
      </c>
      <c r="F408">
        <v>-200</v>
      </c>
      <c r="G408">
        <v>3</v>
      </c>
      <c r="I408" t="s">
        <v>46</v>
      </c>
      <c r="J408">
        <v>1</v>
      </c>
      <c r="K408">
        <v>0</v>
      </c>
    </row>
    <row r="409" spans="1:11" x14ac:dyDescent="0.35">
      <c r="A409" t="s">
        <v>522</v>
      </c>
      <c r="B409" s="4" t="s">
        <v>523</v>
      </c>
      <c r="C409">
        <v>8</v>
      </c>
      <c r="D409" t="s">
        <v>45</v>
      </c>
      <c r="E409" s="7">
        <v>-3</v>
      </c>
      <c r="F409">
        <v>-150</v>
      </c>
      <c r="G409">
        <v>2</v>
      </c>
      <c r="I409" t="s">
        <v>46</v>
      </c>
      <c r="J409">
        <v>1</v>
      </c>
      <c r="K409">
        <v>0</v>
      </c>
    </row>
    <row r="410" spans="1:11" x14ac:dyDescent="0.35">
      <c r="A410" t="s">
        <v>524</v>
      </c>
      <c r="B410" s="4" t="s">
        <v>523</v>
      </c>
      <c r="C410">
        <v>11</v>
      </c>
      <c r="D410" t="s">
        <v>45</v>
      </c>
      <c r="E410" s="7">
        <v>-8</v>
      </c>
      <c r="F410">
        <v>-400</v>
      </c>
      <c r="G410">
        <v>2</v>
      </c>
      <c r="I410" t="s">
        <v>46</v>
      </c>
      <c r="J410">
        <v>1</v>
      </c>
      <c r="K410">
        <v>2</v>
      </c>
    </row>
    <row r="411" spans="1:11" x14ac:dyDescent="0.35">
      <c r="A411" t="s">
        <v>525</v>
      </c>
      <c r="B411" s="4" t="s">
        <v>526</v>
      </c>
      <c r="C411">
        <v>33</v>
      </c>
      <c r="D411" t="s">
        <v>71</v>
      </c>
      <c r="E411" s="7">
        <v>50</v>
      </c>
      <c r="F411">
        <v>2500</v>
      </c>
      <c r="G411">
        <v>4</v>
      </c>
      <c r="H411">
        <v>4</v>
      </c>
      <c r="I411" t="s">
        <v>72</v>
      </c>
      <c r="J411">
        <v>1</v>
      </c>
      <c r="K411">
        <v>352</v>
      </c>
    </row>
    <row r="412" spans="1:11" x14ac:dyDescent="0.35">
      <c r="A412" t="s">
        <v>527</v>
      </c>
      <c r="B412" s="4" t="s">
        <v>526</v>
      </c>
      <c r="C412">
        <v>31</v>
      </c>
      <c r="D412" t="s">
        <v>71</v>
      </c>
      <c r="E412" s="7">
        <v>45</v>
      </c>
      <c r="F412">
        <v>2250</v>
      </c>
      <c r="G412">
        <v>4</v>
      </c>
      <c r="H412">
        <v>3</v>
      </c>
      <c r="I412" t="s">
        <v>72</v>
      </c>
      <c r="J412">
        <v>1</v>
      </c>
      <c r="K412">
        <v>250</v>
      </c>
    </row>
    <row r="413" spans="1:11" x14ac:dyDescent="0.35">
      <c r="A413" t="s">
        <v>528</v>
      </c>
      <c r="B413" s="4" t="s">
        <v>526</v>
      </c>
      <c r="C413">
        <v>22</v>
      </c>
      <c r="D413" t="s">
        <v>71</v>
      </c>
      <c r="E413" s="7">
        <v>29</v>
      </c>
      <c r="F413">
        <v>1450</v>
      </c>
      <c r="G413">
        <v>4</v>
      </c>
      <c r="H413">
        <v>3</v>
      </c>
      <c r="I413" t="s">
        <v>72</v>
      </c>
      <c r="J413">
        <v>1</v>
      </c>
      <c r="K413">
        <v>221</v>
      </c>
    </row>
    <row r="414" spans="1:11" x14ac:dyDescent="0.35">
      <c r="A414" t="s">
        <v>529</v>
      </c>
      <c r="B414" s="4" t="s">
        <v>526</v>
      </c>
      <c r="C414">
        <v>27</v>
      </c>
      <c r="D414" t="s">
        <v>71</v>
      </c>
      <c r="E414" s="7">
        <v>29</v>
      </c>
      <c r="F414">
        <v>1450</v>
      </c>
      <c r="G414">
        <v>4</v>
      </c>
      <c r="H414">
        <v>4</v>
      </c>
      <c r="I414" t="s">
        <v>72</v>
      </c>
      <c r="J414">
        <v>1</v>
      </c>
      <c r="K414">
        <v>201</v>
      </c>
    </row>
    <row r="415" spans="1:11" x14ac:dyDescent="0.35">
      <c r="A415" t="s">
        <v>530</v>
      </c>
      <c r="B415" s="4" t="s">
        <v>526</v>
      </c>
      <c r="C415">
        <v>23</v>
      </c>
      <c r="D415" t="s">
        <v>71</v>
      </c>
      <c r="E415" s="7">
        <v>25</v>
      </c>
      <c r="F415">
        <v>1250</v>
      </c>
      <c r="G415">
        <v>4</v>
      </c>
      <c r="H415">
        <v>2</v>
      </c>
      <c r="I415" t="s">
        <v>72</v>
      </c>
      <c r="J415">
        <v>1</v>
      </c>
      <c r="K415">
        <v>191</v>
      </c>
    </row>
    <row r="416" spans="1:11" x14ac:dyDescent="0.35">
      <c r="A416" t="s">
        <v>531</v>
      </c>
      <c r="B416" s="4" t="s">
        <v>532</v>
      </c>
      <c r="C416">
        <v>30</v>
      </c>
      <c r="D416" t="s">
        <v>71</v>
      </c>
      <c r="E416" s="7">
        <v>27</v>
      </c>
      <c r="F416">
        <v>1350</v>
      </c>
      <c r="G416">
        <v>4</v>
      </c>
      <c r="H416">
        <v>2</v>
      </c>
      <c r="I416" t="s">
        <v>72</v>
      </c>
      <c r="J416">
        <v>1</v>
      </c>
      <c r="K416">
        <v>247</v>
      </c>
    </row>
    <row r="417" spans="1:11" x14ac:dyDescent="0.35">
      <c r="A417" t="s">
        <v>533</v>
      </c>
      <c r="B417" s="4" t="s">
        <v>532</v>
      </c>
      <c r="C417">
        <v>18</v>
      </c>
      <c r="D417" t="s">
        <v>71</v>
      </c>
      <c r="E417" s="7">
        <v>30</v>
      </c>
      <c r="F417">
        <v>1500</v>
      </c>
      <c r="G417">
        <v>4</v>
      </c>
      <c r="H417">
        <v>4</v>
      </c>
      <c r="I417" t="s">
        <v>72</v>
      </c>
      <c r="J417">
        <v>1</v>
      </c>
      <c r="K417">
        <v>228</v>
      </c>
    </row>
    <row r="418" spans="1:11" x14ac:dyDescent="0.35">
      <c r="A418" t="s">
        <v>534</v>
      </c>
      <c r="B418" s="4" t="s">
        <v>532</v>
      </c>
      <c r="C418">
        <v>1</v>
      </c>
      <c r="D418" t="s">
        <v>71</v>
      </c>
      <c r="E418" s="7">
        <v>67</v>
      </c>
      <c r="F418">
        <v>3350</v>
      </c>
      <c r="G418">
        <v>4</v>
      </c>
      <c r="H418">
        <v>1</v>
      </c>
      <c r="I418" t="s">
        <v>72</v>
      </c>
      <c r="J418">
        <v>1</v>
      </c>
      <c r="K418">
        <v>70</v>
      </c>
    </row>
    <row r="419" spans="1:11" x14ac:dyDescent="0.35">
      <c r="A419" t="s">
        <v>535</v>
      </c>
      <c r="B419" s="4" t="s">
        <v>532</v>
      </c>
      <c r="C419">
        <v>28</v>
      </c>
      <c r="D419" t="s">
        <v>71</v>
      </c>
      <c r="E419" s="7">
        <v>50</v>
      </c>
      <c r="F419">
        <v>2500</v>
      </c>
      <c r="G419">
        <v>4</v>
      </c>
      <c r="H419">
        <v>2</v>
      </c>
      <c r="I419" t="s">
        <v>72</v>
      </c>
      <c r="J419">
        <v>1</v>
      </c>
      <c r="K419">
        <v>150</v>
      </c>
    </row>
    <row r="420" spans="1:11" x14ac:dyDescent="0.35">
      <c r="A420" t="s">
        <v>536</v>
      </c>
      <c r="B420" s="4" t="s">
        <v>532</v>
      </c>
      <c r="C420">
        <v>1</v>
      </c>
      <c r="D420" t="s">
        <v>45</v>
      </c>
      <c r="E420" s="7">
        <v>-8</v>
      </c>
      <c r="F420">
        <v>-200</v>
      </c>
      <c r="G420">
        <v>1</v>
      </c>
      <c r="I420" t="s">
        <v>46</v>
      </c>
      <c r="J420">
        <v>1</v>
      </c>
      <c r="K420">
        <v>62</v>
      </c>
    </row>
    <row r="421" spans="1:11" x14ac:dyDescent="0.35">
      <c r="A421" t="s">
        <v>537</v>
      </c>
      <c r="B421" s="4" t="s">
        <v>532</v>
      </c>
      <c r="C421">
        <v>1</v>
      </c>
      <c r="D421" t="s">
        <v>45</v>
      </c>
      <c r="E421" s="7">
        <v>-13</v>
      </c>
      <c r="F421">
        <v>-325</v>
      </c>
      <c r="G421">
        <v>2</v>
      </c>
      <c r="I421" t="s">
        <v>54</v>
      </c>
      <c r="J421">
        <v>1</v>
      </c>
      <c r="K421">
        <v>49</v>
      </c>
    </row>
    <row r="422" spans="1:11" x14ac:dyDescent="0.35">
      <c r="A422" t="s">
        <v>538</v>
      </c>
      <c r="B422" s="4" t="s">
        <v>539</v>
      </c>
      <c r="C422">
        <v>24</v>
      </c>
      <c r="D422" t="s">
        <v>71</v>
      </c>
      <c r="E422" s="7">
        <v>37</v>
      </c>
      <c r="F422">
        <v>1850</v>
      </c>
      <c r="G422">
        <v>4</v>
      </c>
      <c r="H422">
        <v>3</v>
      </c>
      <c r="I422" t="s">
        <v>72</v>
      </c>
      <c r="J422">
        <v>1</v>
      </c>
      <c r="K422">
        <v>260</v>
      </c>
    </row>
    <row r="423" spans="1:11" x14ac:dyDescent="0.35">
      <c r="A423" t="s">
        <v>540</v>
      </c>
      <c r="B423" s="4" t="s">
        <v>539</v>
      </c>
      <c r="C423">
        <v>30</v>
      </c>
      <c r="D423" t="s">
        <v>71</v>
      </c>
      <c r="E423" s="7">
        <v>42</v>
      </c>
      <c r="F423">
        <v>2100</v>
      </c>
      <c r="G423">
        <v>4</v>
      </c>
      <c r="H423">
        <v>2</v>
      </c>
      <c r="I423" t="s">
        <v>72</v>
      </c>
      <c r="J423">
        <v>1</v>
      </c>
      <c r="K423">
        <v>289</v>
      </c>
    </row>
    <row r="424" spans="1:11" x14ac:dyDescent="0.35">
      <c r="A424" t="s">
        <v>541</v>
      </c>
      <c r="B424" s="4" t="s">
        <v>539</v>
      </c>
      <c r="C424">
        <v>3</v>
      </c>
      <c r="D424" t="s">
        <v>71</v>
      </c>
      <c r="E424" s="7">
        <v>43</v>
      </c>
      <c r="F424">
        <v>2150</v>
      </c>
      <c r="G424">
        <v>4</v>
      </c>
      <c r="H424">
        <v>2</v>
      </c>
      <c r="I424" t="s">
        <v>72</v>
      </c>
      <c r="J424">
        <v>1</v>
      </c>
      <c r="K424">
        <v>267</v>
      </c>
    </row>
    <row r="425" spans="1:11" x14ac:dyDescent="0.35">
      <c r="A425" t="s">
        <v>542</v>
      </c>
      <c r="B425" s="4" t="s">
        <v>539</v>
      </c>
      <c r="C425">
        <v>12</v>
      </c>
      <c r="D425" t="s">
        <v>71</v>
      </c>
      <c r="E425" s="7">
        <v>24</v>
      </c>
      <c r="F425">
        <v>1200</v>
      </c>
      <c r="G425">
        <v>4</v>
      </c>
      <c r="H425">
        <v>3</v>
      </c>
      <c r="I425" t="s">
        <v>72</v>
      </c>
      <c r="J425">
        <v>1</v>
      </c>
      <c r="K425">
        <v>24</v>
      </c>
    </row>
    <row r="426" spans="1:11" x14ac:dyDescent="0.35">
      <c r="A426" t="s">
        <v>543</v>
      </c>
      <c r="B426" s="4" t="s">
        <v>539</v>
      </c>
      <c r="C426">
        <v>5</v>
      </c>
      <c r="D426" t="s">
        <v>71</v>
      </c>
      <c r="E426" s="7">
        <v>30</v>
      </c>
      <c r="F426">
        <v>1500</v>
      </c>
      <c r="G426">
        <v>4</v>
      </c>
      <c r="H426">
        <v>3</v>
      </c>
      <c r="I426" t="s">
        <v>72</v>
      </c>
      <c r="J426">
        <v>1</v>
      </c>
      <c r="K426">
        <v>30</v>
      </c>
    </row>
    <row r="427" spans="1:11" x14ac:dyDescent="0.35">
      <c r="A427" t="s">
        <v>544</v>
      </c>
      <c r="B427" s="4" t="s">
        <v>539</v>
      </c>
      <c r="C427">
        <v>1</v>
      </c>
      <c r="D427" t="s">
        <v>45</v>
      </c>
      <c r="E427" s="7">
        <v>-8</v>
      </c>
      <c r="F427">
        <v>-200</v>
      </c>
      <c r="G427">
        <v>1</v>
      </c>
      <c r="I427" t="s">
        <v>46</v>
      </c>
      <c r="J427">
        <v>1</v>
      </c>
      <c r="K427">
        <v>41</v>
      </c>
    </row>
    <row r="428" spans="1:11" x14ac:dyDescent="0.35">
      <c r="A428" t="s">
        <v>545</v>
      </c>
      <c r="B428" s="4" t="s">
        <v>539</v>
      </c>
      <c r="C428">
        <v>12</v>
      </c>
      <c r="D428" t="s">
        <v>45</v>
      </c>
      <c r="E428" s="7">
        <v>-9</v>
      </c>
      <c r="F428">
        <v>-450</v>
      </c>
      <c r="G428">
        <v>1</v>
      </c>
      <c r="I428" t="s">
        <v>46</v>
      </c>
      <c r="J428">
        <v>1</v>
      </c>
      <c r="K428">
        <v>15</v>
      </c>
    </row>
    <row r="429" spans="1:11" x14ac:dyDescent="0.35">
      <c r="A429" t="s">
        <v>546</v>
      </c>
      <c r="B429" s="4" t="s">
        <v>539</v>
      </c>
      <c r="C429">
        <v>1</v>
      </c>
      <c r="D429" t="s">
        <v>45</v>
      </c>
      <c r="E429" s="7">
        <v>-12</v>
      </c>
      <c r="F429">
        <v>-300</v>
      </c>
      <c r="G429">
        <v>2</v>
      </c>
      <c r="I429" t="s">
        <v>54</v>
      </c>
      <c r="J429">
        <v>1</v>
      </c>
      <c r="K429">
        <v>29</v>
      </c>
    </row>
    <row r="430" spans="1:11" x14ac:dyDescent="0.35">
      <c r="A430" t="s">
        <v>547</v>
      </c>
      <c r="B430" s="4" t="s">
        <v>539</v>
      </c>
      <c r="C430">
        <v>1</v>
      </c>
      <c r="D430" t="s">
        <v>45</v>
      </c>
      <c r="E430" s="7">
        <v>-9</v>
      </c>
      <c r="F430">
        <v>-225</v>
      </c>
      <c r="G430">
        <v>3</v>
      </c>
      <c r="I430" t="s">
        <v>62</v>
      </c>
      <c r="J430">
        <v>1</v>
      </c>
      <c r="K430">
        <v>20</v>
      </c>
    </row>
    <row r="431" spans="1:11" x14ac:dyDescent="0.35">
      <c r="A431" t="s">
        <v>548</v>
      </c>
      <c r="B431" s="4" t="s">
        <v>539</v>
      </c>
      <c r="C431">
        <v>5</v>
      </c>
      <c r="D431" t="s">
        <v>45</v>
      </c>
      <c r="E431" s="7">
        <v>-4</v>
      </c>
      <c r="F431">
        <v>-200</v>
      </c>
      <c r="G431">
        <v>3</v>
      </c>
      <c r="I431" t="s">
        <v>46</v>
      </c>
      <c r="J431">
        <v>1</v>
      </c>
      <c r="K431">
        <v>26</v>
      </c>
    </row>
    <row r="432" spans="1:11" x14ac:dyDescent="0.35">
      <c r="A432" t="s">
        <v>549</v>
      </c>
      <c r="B432" s="4" t="s">
        <v>539</v>
      </c>
      <c r="C432">
        <v>12</v>
      </c>
      <c r="D432" t="s">
        <v>45</v>
      </c>
      <c r="E432" s="7">
        <v>-8</v>
      </c>
      <c r="F432">
        <v>-400</v>
      </c>
      <c r="G432">
        <v>3</v>
      </c>
      <c r="I432" t="s">
        <v>46</v>
      </c>
      <c r="J432">
        <v>1</v>
      </c>
      <c r="K432">
        <v>7</v>
      </c>
    </row>
    <row r="433" spans="1:11" x14ac:dyDescent="0.35">
      <c r="A433" t="s">
        <v>550</v>
      </c>
      <c r="B433" s="4" t="s">
        <v>551</v>
      </c>
      <c r="C433">
        <v>1</v>
      </c>
      <c r="D433" t="s">
        <v>45</v>
      </c>
      <c r="E433" s="7">
        <v>-12</v>
      </c>
      <c r="F433">
        <v>-300</v>
      </c>
      <c r="G433">
        <v>1</v>
      </c>
      <c r="I433" t="s">
        <v>46</v>
      </c>
      <c r="J433">
        <v>1</v>
      </c>
      <c r="K433">
        <v>8</v>
      </c>
    </row>
    <row r="434" spans="1:11" x14ac:dyDescent="0.35">
      <c r="A434" t="s">
        <v>552</v>
      </c>
      <c r="B434" s="4" t="s">
        <v>551</v>
      </c>
      <c r="C434">
        <v>12</v>
      </c>
      <c r="D434" t="s">
        <v>45</v>
      </c>
      <c r="E434" s="7">
        <v>-4</v>
      </c>
      <c r="F434">
        <v>-200</v>
      </c>
      <c r="G434">
        <v>2</v>
      </c>
      <c r="I434" t="s">
        <v>46</v>
      </c>
      <c r="J434">
        <v>1</v>
      </c>
      <c r="K434">
        <v>3</v>
      </c>
    </row>
    <row r="435" spans="1:11" x14ac:dyDescent="0.35">
      <c r="A435" t="s">
        <v>553</v>
      </c>
      <c r="B435" s="4" t="s">
        <v>551</v>
      </c>
      <c r="C435">
        <v>1</v>
      </c>
      <c r="D435" t="s">
        <v>45</v>
      </c>
      <c r="E435" s="7">
        <v>-8</v>
      </c>
      <c r="F435">
        <v>-200</v>
      </c>
      <c r="G435">
        <v>3</v>
      </c>
      <c r="I435" t="s">
        <v>62</v>
      </c>
      <c r="J435">
        <v>1</v>
      </c>
      <c r="K435">
        <v>0</v>
      </c>
    </row>
    <row r="436" spans="1:11" x14ac:dyDescent="0.35">
      <c r="A436" t="s">
        <v>554</v>
      </c>
      <c r="B436" s="4" t="s">
        <v>551</v>
      </c>
      <c r="C436">
        <v>5</v>
      </c>
      <c r="D436" t="s">
        <v>45</v>
      </c>
      <c r="E436" s="7">
        <v>-4</v>
      </c>
      <c r="F436">
        <v>-200</v>
      </c>
      <c r="G436">
        <v>3</v>
      </c>
      <c r="I436" t="s">
        <v>46</v>
      </c>
      <c r="J436">
        <v>1</v>
      </c>
      <c r="K436">
        <v>22</v>
      </c>
    </row>
    <row r="437" spans="1:11" x14ac:dyDescent="0.35">
      <c r="A437" t="s">
        <v>555</v>
      </c>
      <c r="B437" s="4" t="s">
        <v>556</v>
      </c>
      <c r="C437">
        <v>5</v>
      </c>
      <c r="D437" t="s">
        <v>45</v>
      </c>
      <c r="E437" s="7">
        <v>-7</v>
      </c>
      <c r="F437">
        <v>-350</v>
      </c>
      <c r="G437">
        <v>1</v>
      </c>
      <c r="I437" t="s">
        <v>46</v>
      </c>
      <c r="J437">
        <v>1</v>
      </c>
      <c r="K437">
        <v>15</v>
      </c>
    </row>
    <row r="438" spans="1:11" x14ac:dyDescent="0.35">
      <c r="A438" t="s">
        <v>557</v>
      </c>
      <c r="B438" s="4" t="s">
        <v>558</v>
      </c>
      <c r="C438">
        <v>31</v>
      </c>
      <c r="D438" t="s">
        <v>71</v>
      </c>
      <c r="E438" s="7">
        <v>49</v>
      </c>
      <c r="F438">
        <v>2450</v>
      </c>
      <c r="G438">
        <v>4</v>
      </c>
      <c r="H438">
        <v>3</v>
      </c>
      <c r="I438" t="s">
        <v>72</v>
      </c>
      <c r="J438">
        <v>1</v>
      </c>
      <c r="K438">
        <v>299</v>
      </c>
    </row>
    <row r="439" spans="1:11" x14ac:dyDescent="0.35">
      <c r="A439" t="s">
        <v>559</v>
      </c>
      <c r="B439" s="4" t="s">
        <v>558</v>
      </c>
      <c r="C439">
        <v>34</v>
      </c>
      <c r="D439" t="s">
        <v>71</v>
      </c>
      <c r="E439" s="7">
        <v>50</v>
      </c>
      <c r="F439">
        <v>2500</v>
      </c>
      <c r="G439">
        <v>4</v>
      </c>
      <c r="H439">
        <v>4</v>
      </c>
      <c r="I439" t="s">
        <v>72</v>
      </c>
      <c r="J439">
        <v>1</v>
      </c>
      <c r="K439">
        <v>265</v>
      </c>
    </row>
    <row r="440" spans="1:11" x14ac:dyDescent="0.35">
      <c r="A440" t="s">
        <v>560</v>
      </c>
      <c r="B440" s="4" t="s">
        <v>558</v>
      </c>
      <c r="C440">
        <v>22</v>
      </c>
      <c r="D440" t="s">
        <v>71</v>
      </c>
      <c r="E440" s="7">
        <v>38</v>
      </c>
      <c r="F440">
        <v>1900</v>
      </c>
      <c r="G440">
        <v>4</v>
      </c>
      <c r="H440">
        <v>3</v>
      </c>
      <c r="I440" t="s">
        <v>72</v>
      </c>
      <c r="J440">
        <v>1</v>
      </c>
      <c r="K440">
        <v>259</v>
      </c>
    </row>
    <row r="441" spans="1:11" x14ac:dyDescent="0.35">
      <c r="A441" t="s">
        <v>561</v>
      </c>
      <c r="B441" s="4" t="s">
        <v>558</v>
      </c>
      <c r="C441">
        <v>5</v>
      </c>
      <c r="D441" t="s">
        <v>71</v>
      </c>
      <c r="E441" s="7">
        <v>44</v>
      </c>
      <c r="F441">
        <v>2200</v>
      </c>
      <c r="G441">
        <v>4</v>
      </c>
      <c r="H441">
        <v>3</v>
      </c>
      <c r="I441" t="s">
        <v>72</v>
      </c>
      <c r="J441">
        <v>1</v>
      </c>
      <c r="K441">
        <v>59</v>
      </c>
    </row>
    <row r="442" spans="1:11" x14ac:dyDescent="0.35">
      <c r="A442" t="s">
        <v>562</v>
      </c>
      <c r="B442" s="4" t="s">
        <v>558</v>
      </c>
      <c r="C442">
        <v>5</v>
      </c>
      <c r="D442" t="s">
        <v>45</v>
      </c>
      <c r="E442" s="7">
        <v>-9</v>
      </c>
      <c r="F442">
        <v>-450</v>
      </c>
      <c r="G442">
        <v>2</v>
      </c>
      <c r="I442" t="s">
        <v>46</v>
      </c>
      <c r="J442">
        <v>1</v>
      </c>
      <c r="K442">
        <v>50</v>
      </c>
    </row>
    <row r="443" spans="1:11" x14ac:dyDescent="0.35">
      <c r="A443" t="s">
        <v>563</v>
      </c>
      <c r="B443" s="4" t="s">
        <v>558</v>
      </c>
      <c r="C443">
        <v>12</v>
      </c>
      <c r="D443" t="s">
        <v>45</v>
      </c>
      <c r="E443" s="7">
        <v>-3</v>
      </c>
      <c r="F443">
        <v>-150</v>
      </c>
      <c r="G443">
        <v>2</v>
      </c>
      <c r="I443" t="s">
        <v>46</v>
      </c>
      <c r="J443">
        <v>1</v>
      </c>
      <c r="K443">
        <v>0</v>
      </c>
    </row>
    <row r="444" spans="1:11" x14ac:dyDescent="0.35">
      <c r="A444" t="s">
        <v>564</v>
      </c>
      <c r="B444" s="4" t="s">
        <v>565</v>
      </c>
      <c r="C444">
        <v>5</v>
      </c>
      <c r="D444" t="s">
        <v>45</v>
      </c>
      <c r="E444" s="7">
        <v>-3</v>
      </c>
      <c r="F444">
        <v>-150</v>
      </c>
      <c r="G444">
        <v>1</v>
      </c>
      <c r="I444" t="s">
        <v>46</v>
      </c>
      <c r="J444">
        <v>1</v>
      </c>
      <c r="K444">
        <v>47</v>
      </c>
    </row>
    <row r="445" spans="1:11" x14ac:dyDescent="0.35">
      <c r="A445" t="s">
        <v>566</v>
      </c>
      <c r="B445" s="4" t="s">
        <v>565</v>
      </c>
      <c r="C445">
        <v>5</v>
      </c>
      <c r="D445" t="s">
        <v>45</v>
      </c>
      <c r="E445" s="7">
        <v>-5</v>
      </c>
      <c r="F445">
        <v>-250</v>
      </c>
      <c r="G445">
        <v>2</v>
      </c>
      <c r="I445" t="s">
        <v>46</v>
      </c>
      <c r="J445">
        <v>1</v>
      </c>
      <c r="K445">
        <v>42</v>
      </c>
    </row>
    <row r="446" spans="1:11" x14ac:dyDescent="0.35">
      <c r="A446" t="s">
        <v>567</v>
      </c>
      <c r="B446" s="4" t="s">
        <v>565</v>
      </c>
      <c r="C446">
        <v>5</v>
      </c>
      <c r="D446" t="s">
        <v>45</v>
      </c>
      <c r="E446" s="7">
        <v>-3</v>
      </c>
      <c r="F446">
        <v>-150</v>
      </c>
      <c r="G446">
        <v>3</v>
      </c>
      <c r="I446" t="s">
        <v>46</v>
      </c>
      <c r="J446">
        <v>1</v>
      </c>
      <c r="K446">
        <v>39</v>
      </c>
    </row>
    <row r="447" spans="1:11" x14ac:dyDescent="0.35">
      <c r="A447" t="s">
        <v>568</v>
      </c>
      <c r="B447" s="4" t="s">
        <v>569</v>
      </c>
      <c r="C447">
        <v>5</v>
      </c>
      <c r="D447" t="s">
        <v>45</v>
      </c>
      <c r="E447" s="7">
        <v>-4</v>
      </c>
      <c r="F447">
        <v>-200</v>
      </c>
      <c r="G447">
        <v>1</v>
      </c>
      <c r="I447" t="s">
        <v>46</v>
      </c>
      <c r="J447">
        <v>1</v>
      </c>
      <c r="K447">
        <v>35</v>
      </c>
    </row>
    <row r="448" spans="1:11" x14ac:dyDescent="0.35">
      <c r="A448" t="s">
        <v>570</v>
      </c>
      <c r="B448" s="4" t="s">
        <v>569</v>
      </c>
      <c r="C448">
        <v>5</v>
      </c>
      <c r="D448" t="s">
        <v>45</v>
      </c>
      <c r="E448" s="7">
        <v>-9</v>
      </c>
      <c r="F448">
        <v>-450</v>
      </c>
      <c r="G448">
        <v>3</v>
      </c>
      <c r="I448" t="s">
        <v>46</v>
      </c>
      <c r="J448">
        <v>1</v>
      </c>
      <c r="K448">
        <v>26</v>
      </c>
    </row>
    <row r="449" spans="1:11" x14ac:dyDescent="0.35">
      <c r="A449" t="s">
        <v>571</v>
      </c>
      <c r="B449" s="4" t="s">
        <v>572</v>
      </c>
      <c r="C449">
        <v>12</v>
      </c>
      <c r="D449" t="s">
        <v>71</v>
      </c>
      <c r="E449" s="7">
        <v>32</v>
      </c>
      <c r="F449">
        <v>1600</v>
      </c>
      <c r="G449">
        <v>4</v>
      </c>
      <c r="H449">
        <v>3</v>
      </c>
      <c r="I449" t="s">
        <v>72</v>
      </c>
      <c r="J449">
        <v>1</v>
      </c>
      <c r="K449">
        <v>32</v>
      </c>
    </row>
    <row r="450" spans="1:11" x14ac:dyDescent="0.35">
      <c r="A450" t="s">
        <v>573</v>
      </c>
      <c r="B450" s="4" t="s">
        <v>572</v>
      </c>
      <c r="C450">
        <v>23</v>
      </c>
      <c r="D450" t="s">
        <v>71</v>
      </c>
      <c r="E450" s="7">
        <v>33</v>
      </c>
      <c r="F450">
        <v>1650</v>
      </c>
      <c r="G450">
        <v>4</v>
      </c>
      <c r="H450">
        <v>2</v>
      </c>
      <c r="I450" t="s">
        <v>72</v>
      </c>
      <c r="J450">
        <v>1</v>
      </c>
      <c r="K450">
        <v>224</v>
      </c>
    </row>
    <row r="451" spans="1:11" x14ac:dyDescent="0.35">
      <c r="A451" t="s">
        <v>574</v>
      </c>
      <c r="B451" s="4" t="s">
        <v>572</v>
      </c>
      <c r="C451">
        <v>5</v>
      </c>
      <c r="D451" t="s">
        <v>45</v>
      </c>
      <c r="E451" s="7">
        <v>-7</v>
      </c>
      <c r="F451">
        <v>-350</v>
      </c>
      <c r="G451">
        <v>1</v>
      </c>
      <c r="I451" t="s">
        <v>46</v>
      </c>
      <c r="J451">
        <v>1</v>
      </c>
      <c r="K451">
        <v>19</v>
      </c>
    </row>
    <row r="452" spans="1:11" x14ac:dyDescent="0.35">
      <c r="A452" t="s">
        <v>575</v>
      </c>
      <c r="B452" s="4" t="s">
        <v>572</v>
      </c>
      <c r="C452">
        <v>12</v>
      </c>
      <c r="D452" t="s">
        <v>45</v>
      </c>
      <c r="E452" s="7">
        <v>-9</v>
      </c>
      <c r="F452">
        <v>-450</v>
      </c>
      <c r="G452">
        <v>1</v>
      </c>
      <c r="I452" t="s">
        <v>46</v>
      </c>
      <c r="J452">
        <v>1</v>
      </c>
      <c r="K452">
        <v>23</v>
      </c>
    </row>
    <row r="453" spans="1:11" x14ac:dyDescent="0.35">
      <c r="A453" t="s">
        <v>576</v>
      </c>
      <c r="B453" s="4" t="s">
        <v>572</v>
      </c>
      <c r="C453">
        <v>12</v>
      </c>
      <c r="D453" t="s">
        <v>45</v>
      </c>
      <c r="E453" s="7">
        <v>-3</v>
      </c>
      <c r="F453">
        <v>-150</v>
      </c>
      <c r="G453">
        <v>2</v>
      </c>
      <c r="I453" t="s">
        <v>46</v>
      </c>
      <c r="J453">
        <v>1</v>
      </c>
      <c r="K453">
        <v>20</v>
      </c>
    </row>
    <row r="454" spans="1:11" x14ac:dyDescent="0.35">
      <c r="A454" t="s">
        <v>577</v>
      </c>
      <c r="B454" s="4" t="s">
        <v>572</v>
      </c>
      <c r="C454">
        <v>5</v>
      </c>
      <c r="D454" t="s">
        <v>45</v>
      </c>
      <c r="E454" s="7">
        <v>-4</v>
      </c>
      <c r="F454">
        <v>-200</v>
      </c>
      <c r="G454">
        <v>3</v>
      </c>
      <c r="I454" t="s">
        <v>46</v>
      </c>
      <c r="J454">
        <v>1</v>
      </c>
      <c r="K454">
        <v>15</v>
      </c>
    </row>
    <row r="455" spans="1:11" x14ac:dyDescent="0.35">
      <c r="A455" t="s">
        <v>578</v>
      </c>
      <c r="B455" s="4" t="s">
        <v>572</v>
      </c>
      <c r="C455">
        <v>12</v>
      </c>
      <c r="D455" t="s">
        <v>45</v>
      </c>
      <c r="E455" s="7">
        <v>-7</v>
      </c>
      <c r="F455">
        <v>-350</v>
      </c>
      <c r="G455">
        <v>3</v>
      </c>
      <c r="I455" t="s">
        <v>46</v>
      </c>
      <c r="J455">
        <v>1</v>
      </c>
      <c r="K455">
        <v>13</v>
      </c>
    </row>
    <row r="456" spans="1:11" x14ac:dyDescent="0.35">
      <c r="A456" t="s">
        <v>579</v>
      </c>
      <c r="B456" s="4" t="s">
        <v>580</v>
      </c>
      <c r="C456">
        <v>12</v>
      </c>
      <c r="D456" t="s">
        <v>45</v>
      </c>
      <c r="E456" s="7">
        <v>-4</v>
      </c>
      <c r="F456">
        <v>-200</v>
      </c>
      <c r="G456">
        <v>1</v>
      </c>
      <c r="I456" t="s">
        <v>46</v>
      </c>
      <c r="J456">
        <v>1</v>
      </c>
      <c r="K456">
        <v>9</v>
      </c>
    </row>
    <row r="457" spans="1:11" x14ac:dyDescent="0.35">
      <c r="A457" t="s">
        <v>581</v>
      </c>
      <c r="B457" s="4" t="s">
        <v>580</v>
      </c>
      <c r="C457">
        <v>5</v>
      </c>
      <c r="D457" t="s">
        <v>45</v>
      </c>
      <c r="E457" s="7">
        <v>-9</v>
      </c>
      <c r="F457">
        <v>-450</v>
      </c>
      <c r="G457">
        <v>2</v>
      </c>
      <c r="I457" t="s">
        <v>46</v>
      </c>
      <c r="J457">
        <v>1</v>
      </c>
      <c r="K457">
        <v>6</v>
      </c>
    </row>
    <row r="458" spans="1:11" x14ac:dyDescent="0.35">
      <c r="A458" t="s">
        <v>582</v>
      </c>
      <c r="B458" s="4" t="s">
        <v>580</v>
      </c>
      <c r="C458">
        <v>12</v>
      </c>
      <c r="D458" t="s">
        <v>45</v>
      </c>
      <c r="E458" s="7">
        <v>-9</v>
      </c>
      <c r="F458">
        <v>-450</v>
      </c>
      <c r="G458">
        <v>2</v>
      </c>
      <c r="I458" t="s">
        <v>46</v>
      </c>
      <c r="J458">
        <v>1</v>
      </c>
      <c r="K458">
        <v>0</v>
      </c>
    </row>
    <row r="459" spans="1:11" x14ac:dyDescent="0.35">
      <c r="A459" t="s">
        <v>583</v>
      </c>
      <c r="B459" s="4" t="s">
        <v>580</v>
      </c>
      <c r="C459">
        <v>5</v>
      </c>
      <c r="D459" t="s">
        <v>45</v>
      </c>
      <c r="E459" s="7">
        <v>-6</v>
      </c>
      <c r="F459">
        <v>-300</v>
      </c>
      <c r="G459">
        <v>3</v>
      </c>
      <c r="I459" t="s">
        <v>46</v>
      </c>
      <c r="J459">
        <v>1</v>
      </c>
      <c r="K459">
        <v>0</v>
      </c>
    </row>
    <row r="460" spans="1:11" x14ac:dyDescent="0.35">
      <c r="A460" t="s">
        <v>584</v>
      </c>
      <c r="B460" s="4" t="s">
        <v>585</v>
      </c>
      <c r="C460">
        <v>11</v>
      </c>
      <c r="D460" t="s">
        <v>45</v>
      </c>
      <c r="E460" s="7">
        <v>-2</v>
      </c>
      <c r="F460">
        <v>-100</v>
      </c>
      <c r="G460">
        <v>1</v>
      </c>
      <c r="I460" t="s">
        <v>46</v>
      </c>
      <c r="J460">
        <v>1</v>
      </c>
      <c r="K460">
        <v>0</v>
      </c>
    </row>
    <row r="461" spans="1:11" x14ac:dyDescent="0.35">
      <c r="A461" t="s">
        <v>586</v>
      </c>
      <c r="B461" s="4" t="s">
        <v>587</v>
      </c>
      <c r="C461">
        <v>4</v>
      </c>
      <c r="D461" t="s">
        <v>71</v>
      </c>
      <c r="E461" s="7">
        <v>21</v>
      </c>
      <c r="F461">
        <v>1050</v>
      </c>
      <c r="G461">
        <v>4</v>
      </c>
      <c r="H461">
        <v>3</v>
      </c>
      <c r="I461" t="s">
        <v>72</v>
      </c>
      <c r="J461">
        <v>1</v>
      </c>
      <c r="K461">
        <v>21</v>
      </c>
    </row>
    <row r="462" spans="1:11" x14ac:dyDescent="0.35">
      <c r="A462" t="s">
        <v>588</v>
      </c>
      <c r="B462" s="4" t="s">
        <v>587</v>
      </c>
      <c r="C462">
        <v>13</v>
      </c>
      <c r="D462" t="s">
        <v>71</v>
      </c>
      <c r="E462" s="7">
        <v>35</v>
      </c>
      <c r="F462">
        <v>1750</v>
      </c>
      <c r="G462">
        <v>4</v>
      </c>
      <c r="H462">
        <v>2</v>
      </c>
      <c r="I462" t="s">
        <v>72</v>
      </c>
      <c r="J462">
        <v>1</v>
      </c>
      <c r="K462">
        <v>238</v>
      </c>
    </row>
    <row r="463" spans="1:11" x14ac:dyDescent="0.35">
      <c r="A463" t="s">
        <v>589</v>
      </c>
      <c r="B463" s="4" t="s">
        <v>587</v>
      </c>
      <c r="C463">
        <v>10</v>
      </c>
      <c r="D463" t="s">
        <v>71</v>
      </c>
      <c r="E463" s="7">
        <v>28</v>
      </c>
      <c r="F463">
        <v>1400</v>
      </c>
      <c r="G463">
        <v>4</v>
      </c>
      <c r="H463">
        <v>3</v>
      </c>
      <c r="I463" t="s">
        <v>72</v>
      </c>
      <c r="J463">
        <v>1</v>
      </c>
      <c r="K463">
        <v>28</v>
      </c>
    </row>
    <row r="464" spans="1:11" x14ac:dyDescent="0.35">
      <c r="A464" t="s">
        <v>590</v>
      </c>
      <c r="B464" s="4" t="s">
        <v>587</v>
      </c>
      <c r="C464">
        <v>12</v>
      </c>
      <c r="D464" t="s">
        <v>71</v>
      </c>
      <c r="E464" s="7">
        <v>34</v>
      </c>
      <c r="F464">
        <v>1700</v>
      </c>
      <c r="G464">
        <v>4</v>
      </c>
      <c r="H464">
        <v>3</v>
      </c>
      <c r="I464" t="s">
        <v>72</v>
      </c>
      <c r="J464">
        <v>1</v>
      </c>
      <c r="K464">
        <v>34</v>
      </c>
    </row>
    <row r="465" spans="1:11" x14ac:dyDescent="0.35">
      <c r="A465" t="s">
        <v>591</v>
      </c>
      <c r="B465" s="4" t="s">
        <v>587</v>
      </c>
      <c r="C465">
        <v>4</v>
      </c>
      <c r="D465" t="s">
        <v>45</v>
      </c>
      <c r="E465" s="7">
        <v>-4</v>
      </c>
      <c r="F465">
        <v>-200</v>
      </c>
      <c r="G465">
        <v>1</v>
      </c>
      <c r="I465" t="s">
        <v>46</v>
      </c>
      <c r="J465">
        <v>1</v>
      </c>
      <c r="K465">
        <v>17</v>
      </c>
    </row>
    <row r="466" spans="1:11" x14ac:dyDescent="0.35">
      <c r="A466" t="s">
        <v>592</v>
      </c>
      <c r="B466" s="4" t="s">
        <v>587</v>
      </c>
      <c r="C466">
        <v>12</v>
      </c>
      <c r="D466" t="s">
        <v>45</v>
      </c>
      <c r="E466" s="7">
        <v>-6</v>
      </c>
      <c r="F466">
        <v>-300</v>
      </c>
      <c r="G466">
        <v>1</v>
      </c>
      <c r="I466" t="s">
        <v>46</v>
      </c>
      <c r="J466">
        <v>1</v>
      </c>
      <c r="K466">
        <v>28</v>
      </c>
    </row>
    <row r="467" spans="1:11" x14ac:dyDescent="0.35">
      <c r="A467" t="s">
        <v>593</v>
      </c>
      <c r="B467" s="4" t="s">
        <v>587</v>
      </c>
      <c r="C467">
        <v>4</v>
      </c>
      <c r="D467" t="s">
        <v>45</v>
      </c>
      <c r="E467" s="7">
        <v>-2</v>
      </c>
      <c r="F467">
        <v>-100</v>
      </c>
      <c r="G467">
        <v>2</v>
      </c>
      <c r="I467" t="s">
        <v>46</v>
      </c>
      <c r="J467">
        <v>1</v>
      </c>
      <c r="K467">
        <v>15</v>
      </c>
    </row>
    <row r="468" spans="1:11" x14ac:dyDescent="0.35">
      <c r="A468" t="s">
        <v>594</v>
      </c>
      <c r="B468" s="4" t="s">
        <v>587</v>
      </c>
      <c r="C468">
        <v>10</v>
      </c>
      <c r="D468" t="s">
        <v>45</v>
      </c>
      <c r="E468" s="7">
        <v>-2</v>
      </c>
      <c r="F468">
        <v>-100</v>
      </c>
      <c r="G468">
        <v>2</v>
      </c>
      <c r="I468" t="s">
        <v>46</v>
      </c>
      <c r="J468">
        <v>1</v>
      </c>
      <c r="K468">
        <v>26</v>
      </c>
    </row>
    <row r="469" spans="1:11" x14ac:dyDescent="0.35">
      <c r="A469" t="s">
        <v>595</v>
      </c>
      <c r="B469" s="4" t="s">
        <v>587</v>
      </c>
      <c r="C469">
        <v>4</v>
      </c>
      <c r="D469" t="s">
        <v>45</v>
      </c>
      <c r="E469" s="7">
        <v>-6</v>
      </c>
      <c r="F469">
        <v>-300</v>
      </c>
      <c r="G469">
        <v>3</v>
      </c>
      <c r="I469" t="s">
        <v>46</v>
      </c>
      <c r="J469">
        <v>1</v>
      </c>
      <c r="K469">
        <v>9</v>
      </c>
    </row>
    <row r="470" spans="1:11" x14ac:dyDescent="0.35">
      <c r="A470" t="s">
        <v>596</v>
      </c>
      <c r="B470" s="4" t="s">
        <v>597</v>
      </c>
      <c r="C470">
        <v>10</v>
      </c>
      <c r="D470" t="s">
        <v>45</v>
      </c>
      <c r="E470" s="7">
        <v>-7</v>
      </c>
      <c r="F470">
        <v>-350</v>
      </c>
      <c r="G470">
        <v>1</v>
      </c>
      <c r="I470" t="s">
        <v>46</v>
      </c>
      <c r="J470">
        <v>1</v>
      </c>
      <c r="K470">
        <v>19</v>
      </c>
    </row>
    <row r="471" spans="1:11" x14ac:dyDescent="0.35">
      <c r="A471" t="s">
        <v>598</v>
      </c>
      <c r="B471" s="4" t="s">
        <v>597</v>
      </c>
      <c r="C471">
        <v>12</v>
      </c>
      <c r="D471" t="s">
        <v>45</v>
      </c>
      <c r="E471" s="7">
        <v>-6</v>
      </c>
      <c r="F471">
        <v>-300</v>
      </c>
      <c r="G471">
        <v>1</v>
      </c>
      <c r="I471" t="s">
        <v>46</v>
      </c>
      <c r="J471">
        <v>1</v>
      </c>
      <c r="K471">
        <v>22</v>
      </c>
    </row>
    <row r="472" spans="1:11" x14ac:dyDescent="0.35">
      <c r="A472" t="s">
        <v>599</v>
      </c>
      <c r="B472" s="4" t="s">
        <v>597</v>
      </c>
      <c r="C472">
        <v>10</v>
      </c>
      <c r="D472" t="s">
        <v>45</v>
      </c>
      <c r="E472" s="7">
        <v>-5</v>
      </c>
      <c r="F472">
        <v>-250</v>
      </c>
      <c r="G472">
        <v>2</v>
      </c>
      <c r="I472" t="s">
        <v>46</v>
      </c>
      <c r="J472">
        <v>1</v>
      </c>
      <c r="K472">
        <v>14</v>
      </c>
    </row>
    <row r="473" spans="1:11" x14ac:dyDescent="0.35">
      <c r="A473" t="s">
        <v>600</v>
      </c>
      <c r="B473" s="4" t="s">
        <v>597</v>
      </c>
      <c r="C473">
        <v>12</v>
      </c>
      <c r="D473" t="s">
        <v>45</v>
      </c>
      <c r="E473" s="7">
        <v>-7</v>
      </c>
      <c r="F473">
        <v>-350</v>
      </c>
      <c r="G473">
        <v>2</v>
      </c>
      <c r="I473" t="s">
        <v>46</v>
      </c>
      <c r="J473">
        <v>1</v>
      </c>
      <c r="K473">
        <v>15</v>
      </c>
    </row>
    <row r="474" spans="1:11" x14ac:dyDescent="0.35">
      <c r="A474" t="s">
        <v>601</v>
      </c>
      <c r="B474" s="4" t="s">
        <v>597</v>
      </c>
      <c r="C474">
        <v>12</v>
      </c>
      <c r="D474" t="s">
        <v>45</v>
      </c>
      <c r="E474" s="7">
        <v>-3</v>
      </c>
      <c r="F474">
        <v>-150</v>
      </c>
      <c r="G474">
        <v>3</v>
      </c>
      <c r="I474" t="s">
        <v>46</v>
      </c>
      <c r="J474">
        <v>1</v>
      </c>
      <c r="K474">
        <v>12</v>
      </c>
    </row>
    <row r="475" spans="1:11" x14ac:dyDescent="0.35">
      <c r="A475" t="s">
        <v>602</v>
      </c>
      <c r="B475" s="4" t="s">
        <v>603</v>
      </c>
      <c r="C475">
        <v>4</v>
      </c>
      <c r="D475" t="s">
        <v>45</v>
      </c>
      <c r="E475" s="7">
        <v>-5</v>
      </c>
      <c r="F475">
        <v>-250</v>
      </c>
      <c r="G475">
        <v>1</v>
      </c>
      <c r="I475" t="s">
        <v>46</v>
      </c>
      <c r="J475">
        <v>1</v>
      </c>
      <c r="K475">
        <v>4</v>
      </c>
    </row>
    <row r="476" spans="1:11" x14ac:dyDescent="0.35">
      <c r="A476" t="s">
        <v>604</v>
      </c>
      <c r="B476" s="4" t="s">
        <v>603</v>
      </c>
      <c r="C476">
        <v>10</v>
      </c>
      <c r="D476" t="s">
        <v>45</v>
      </c>
      <c r="E476" s="7">
        <v>-5</v>
      </c>
      <c r="F476">
        <v>-250</v>
      </c>
      <c r="G476">
        <v>1</v>
      </c>
      <c r="I476" t="s">
        <v>46</v>
      </c>
      <c r="J476">
        <v>1</v>
      </c>
      <c r="K476">
        <v>9</v>
      </c>
    </row>
    <row r="477" spans="1:11" x14ac:dyDescent="0.35">
      <c r="A477" t="s">
        <v>605</v>
      </c>
      <c r="B477" s="4" t="s">
        <v>603</v>
      </c>
      <c r="C477">
        <v>12</v>
      </c>
      <c r="D477" t="s">
        <v>45</v>
      </c>
      <c r="E477" s="7">
        <v>-6</v>
      </c>
      <c r="F477">
        <v>-300</v>
      </c>
      <c r="G477">
        <v>1</v>
      </c>
      <c r="I477" t="s">
        <v>46</v>
      </c>
      <c r="J477">
        <v>1</v>
      </c>
      <c r="K477">
        <v>6</v>
      </c>
    </row>
    <row r="478" spans="1:11" x14ac:dyDescent="0.35">
      <c r="A478" t="s">
        <v>606</v>
      </c>
      <c r="B478" s="4" t="s">
        <v>603</v>
      </c>
      <c r="C478">
        <v>4</v>
      </c>
      <c r="D478" t="s">
        <v>45</v>
      </c>
      <c r="E478" s="7">
        <v>-2</v>
      </c>
      <c r="F478">
        <v>-100</v>
      </c>
      <c r="G478">
        <v>2</v>
      </c>
      <c r="I478" t="s">
        <v>46</v>
      </c>
      <c r="J478">
        <v>1</v>
      </c>
      <c r="K478">
        <v>2</v>
      </c>
    </row>
    <row r="479" spans="1:11" x14ac:dyDescent="0.35">
      <c r="A479" t="s">
        <v>607</v>
      </c>
      <c r="B479" s="4" t="s">
        <v>603</v>
      </c>
      <c r="C479">
        <v>4</v>
      </c>
      <c r="D479" t="s">
        <v>45</v>
      </c>
      <c r="E479" s="7">
        <v>-2</v>
      </c>
      <c r="F479">
        <v>-100</v>
      </c>
      <c r="G479">
        <v>3</v>
      </c>
      <c r="I479" t="s">
        <v>46</v>
      </c>
      <c r="J479">
        <v>1</v>
      </c>
      <c r="K479">
        <v>0</v>
      </c>
    </row>
    <row r="480" spans="1:11" x14ac:dyDescent="0.35">
      <c r="A480" t="s">
        <v>608</v>
      </c>
      <c r="B480" s="4" t="s">
        <v>603</v>
      </c>
      <c r="C480">
        <v>10</v>
      </c>
      <c r="D480" t="s">
        <v>45</v>
      </c>
      <c r="E480" s="7">
        <v>-4</v>
      </c>
      <c r="F480">
        <v>-200</v>
      </c>
      <c r="G480">
        <v>3</v>
      </c>
      <c r="I480" t="s">
        <v>46</v>
      </c>
      <c r="J480">
        <v>1</v>
      </c>
      <c r="K480">
        <v>5</v>
      </c>
    </row>
    <row r="481" spans="1:11" x14ac:dyDescent="0.35">
      <c r="A481" t="s">
        <v>609</v>
      </c>
      <c r="B481" s="4" t="s">
        <v>610</v>
      </c>
      <c r="C481">
        <v>12</v>
      </c>
      <c r="D481" t="s">
        <v>45</v>
      </c>
      <c r="E481" s="7">
        <v>-3</v>
      </c>
      <c r="F481">
        <v>-150</v>
      </c>
      <c r="G481">
        <v>1</v>
      </c>
      <c r="I481" t="s">
        <v>46</v>
      </c>
      <c r="J481">
        <v>1</v>
      </c>
      <c r="K481">
        <v>3</v>
      </c>
    </row>
    <row r="482" spans="1:11" x14ac:dyDescent="0.35">
      <c r="A482" t="s">
        <v>611</v>
      </c>
      <c r="B482" s="4" t="s">
        <v>610</v>
      </c>
      <c r="C482">
        <v>12</v>
      </c>
      <c r="D482" t="s">
        <v>45</v>
      </c>
      <c r="E482" s="7">
        <v>-2</v>
      </c>
      <c r="F482">
        <v>-100</v>
      </c>
      <c r="G482">
        <v>2</v>
      </c>
      <c r="I482" t="s">
        <v>46</v>
      </c>
      <c r="J482">
        <v>1</v>
      </c>
      <c r="K482">
        <v>1</v>
      </c>
    </row>
    <row r="483" spans="1:11" x14ac:dyDescent="0.35">
      <c r="A483" t="s">
        <v>612</v>
      </c>
      <c r="B483" s="4" t="s">
        <v>613</v>
      </c>
      <c r="C483">
        <v>10</v>
      </c>
      <c r="D483" t="s">
        <v>45</v>
      </c>
      <c r="E483" s="7">
        <v>-3</v>
      </c>
      <c r="F483">
        <v>-150</v>
      </c>
      <c r="G483">
        <v>1</v>
      </c>
      <c r="I483" t="s">
        <v>46</v>
      </c>
      <c r="J483">
        <v>1</v>
      </c>
      <c r="K483">
        <v>2</v>
      </c>
    </row>
    <row r="484" spans="1:11" x14ac:dyDescent="0.35">
      <c r="A484" t="s">
        <v>614</v>
      </c>
      <c r="B484" s="4" t="s">
        <v>615</v>
      </c>
      <c r="C484">
        <v>22</v>
      </c>
      <c r="D484" t="s">
        <v>71</v>
      </c>
      <c r="E484" s="7">
        <v>23</v>
      </c>
      <c r="F484">
        <v>1150</v>
      </c>
      <c r="G484">
        <v>4</v>
      </c>
      <c r="H484">
        <v>3</v>
      </c>
      <c r="I484" t="s">
        <v>72</v>
      </c>
      <c r="J484">
        <v>1</v>
      </c>
      <c r="K484">
        <v>282</v>
      </c>
    </row>
    <row r="485" spans="1:11" x14ac:dyDescent="0.35">
      <c r="A485" t="s">
        <v>616</v>
      </c>
      <c r="B485" s="4" t="s">
        <v>615</v>
      </c>
      <c r="C485">
        <v>28</v>
      </c>
      <c r="D485" t="s">
        <v>71</v>
      </c>
      <c r="E485" s="7">
        <v>39</v>
      </c>
      <c r="F485">
        <v>1950</v>
      </c>
      <c r="G485">
        <v>4</v>
      </c>
      <c r="H485">
        <v>2</v>
      </c>
      <c r="I485" t="s">
        <v>72</v>
      </c>
      <c r="J485">
        <v>1</v>
      </c>
      <c r="K485">
        <v>189</v>
      </c>
    </row>
    <row r="486" spans="1:11" x14ac:dyDescent="0.35">
      <c r="A486" t="s">
        <v>617</v>
      </c>
      <c r="B486" s="4" t="s">
        <v>615</v>
      </c>
      <c r="C486">
        <v>10</v>
      </c>
      <c r="D486" t="s">
        <v>45</v>
      </c>
      <c r="E486" s="7">
        <v>-2</v>
      </c>
      <c r="F486">
        <v>-100</v>
      </c>
      <c r="G486">
        <v>3</v>
      </c>
      <c r="I486" t="s">
        <v>46</v>
      </c>
      <c r="J486">
        <v>1</v>
      </c>
      <c r="K486">
        <v>0</v>
      </c>
    </row>
    <row r="487" spans="1:11" x14ac:dyDescent="0.35">
      <c r="A487" t="s">
        <v>618</v>
      </c>
      <c r="B487" s="4" t="s">
        <v>619</v>
      </c>
      <c r="C487">
        <v>15</v>
      </c>
      <c r="D487" t="s">
        <v>71</v>
      </c>
      <c r="E487" s="7">
        <v>36</v>
      </c>
      <c r="F487">
        <v>1800</v>
      </c>
      <c r="G487">
        <v>4</v>
      </c>
      <c r="H487">
        <v>1</v>
      </c>
      <c r="I487" t="s">
        <v>72</v>
      </c>
      <c r="J487">
        <v>1</v>
      </c>
      <c r="K487">
        <v>240</v>
      </c>
    </row>
    <row r="488" spans="1:11" x14ac:dyDescent="0.35">
      <c r="A488" t="s">
        <v>620</v>
      </c>
      <c r="B488" s="4" t="s">
        <v>619</v>
      </c>
      <c r="C488">
        <v>9</v>
      </c>
      <c r="D488" t="s">
        <v>71</v>
      </c>
      <c r="E488" s="7">
        <v>45</v>
      </c>
      <c r="F488">
        <v>2250</v>
      </c>
      <c r="G488">
        <v>4</v>
      </c>
      <c r="H488">
        <v>3</v>
      </c>
      <c r="I488" t="s">
        <v>72</v>
      </c>
      <c r="J488">
        <v>1</v>
      </c>
      <c r="K488">
        <v>45</v>
      </c>
    </row>
    <row r="489" spans="1:11" x14ac:dyDescent="0.35">
      <c r="A489" t="s">
        <v>621</v>
      </c>
      <c r="B489" s="4" t="s">
        <v>619</v>
      </c>
      <c r="C489">
        <v>28</v>
      </c>
      <c r="D489" t="s">
        <v>71</v>
      </c>
      <c r="E489" s="7">
        <v>41</v>
      </c>
      <c r="F489">
        <v>2050</v>
      </c>
      <c r="G489">
        <v>4</v>
      </c>
      <c r="H489">
        <v>2</v>
      </c>
      <c r="I489" t="s">
        <v>72</v>
      </c>
      <c r="J489">
        <v>1</v>
      </c>
      <c r="K489">
        <v>230</v>
      </c>
    </row>
    <row r="490" spans="1:11" x14ac:dyDescent="0.35">
      <c r="A490" t="s">
        <v>622</v>
      </c>
      <c r="B490" s="4" t="s">
        <v>619</v>
      </c>
      <c r="C490">
        <v>27</v>
      </c>
      <c r="D490" t="s">
        <v>71</v>
      </c>
      <c r="E490" s="7">
        <v>31</v>
      </c>
      <c r="F490">
        <v>1550</v>
      </c>
      <c r="G490">
        <v>4</v>
      </c>
      <c r="H490">
        <v>4</v>
      </c>
      <c r="I490" t="s">
        <v>72</v>
      </c>
      <c r="J490">
        <v>1</v>
      </c>
      <c r="K490">
        <v>232</v>
      </c>
    </row>
    <row r="491" spans="1:11" x14ac:dyDescent="0.35">
      <c r="A491" t="s">
        <v>623</v>
      </c>
      <c r="B491" s="4" t="s">
        <v>619</v>
      </c>
      <c r="C491">
        <v>30</v>
      </c>
      <c r="D491" t="s">
        <v>71</v>
      </c>
      <c r="E491" s="7">
        <v>50</v>
      </c>
      <c r="F491">
        <v>2500</v>
      </c>
      <c r="G491">
        <v>4</v>
      </c>
      <c r="H491">
        <v>2</v>
      </c>
      <c r="I491" t="s">
        <v>72</v>
      </c>
      <c r="J491">
        <v>1</v>
      </c>
      <c r="K491">
        <v>339</v>
      </c>
    </row>
    <row r="492" spans="1:11" x14ac:dyDescent="0.35">
      <c r="A492" t="s">
        <v>624</v>
      </c>
      <c r="B492" s="4" t="s">
        <v>619</v>
      </c>
      <c r="C492">
        <v>9</v>
      </c>
      <c r="D492" t="s">
        <v>45</v>
      </c>
      <c r="E492" s="7">
        <v>-2</v>
      </c>
      <c r="F492">
        <v>-100</v>
      </c>
      <c r="G492">
        <v>1</v>
      </c>
      <c r="I492" t="s">
        <v>46</v>
      </c>
      <c r="J492">
        <v>1</v>
      </c>
      <c r="K492">
        <v>43</v>
      </c>
    </row>
    <row r="493" spans="1:11" x14ac:dyDescent="0.35">
      <c r="A493" t="s">
        <v>625</v>
      </c>
      <c r="B493" s="4" t="s">
        <v>619</v>
      </c>
      <c r="C493">
        <v>9</v>
      </c>
      <c r="D493" t="s">
        <v>45</v>
      </c>
      <c r="E493" s="7">
        <v>-5</v>
      </c>
      <c r="F493">
        <v>-250</v>
      </c>
      <c r="G493">
        <v>3</v>
      </c>
      <c r="I493" t="s">
        <v>46</v>
      </c>
      <c r="J493">
        <v>1</v>
      </c>
      <c r="K493">
        <v>38</v>
      </c>
    </row>
    <row r="494" spans="1:11" x14ac:dyDescent="0.35">
      <c r="A494" t="s">
        <v>626</v>
      </c>
      <c r="B494" s="4" t="s">
        <v>627</v>
      </c>
      <c r="C494">
        <v>34</v>
      </c>
      <c r="D494" t="s">
        <v>71</v>
      </c>
      <c r="E494" s="7">
        <v>20</v>
      </c>
      <c r="F494">
        <v>1000</v>
      </c>
      <c r="G494">
        <v>4</v>
      </c>
      <c r="H494">
        <v>4</v>
      </c>
      <c r="I494" t="s">
        <v>72</v>
      </c>
      <c r="J494">
        <v>1</v>
      </c>
      <c r="K494">
        <v>285</v>
      </c>
    </row>
    <row r="495" spans="1:11" x14ac:dyDescent="0.35">
      <c r="A495" t="s">
        <v>628</v>
      </c>
      <c r="B495" s="4" t="s">
        <v>627</v>
      </c>
      <c r="C495">
        <v>22</v>
      </c>
      <c r="D495" t="s">
        <v>71</v>
      </c>
      <c r="E495" s="7">
        <v>48</v>
      </c>
      <c r="F495">
        <v>2400</v>
      </c>
      <c r="G495">
        <v>4</v>
      </c>
      <c r="H495">
        <v>3</v>
      </c>
      <c r="I495" t="s">
        <v>72</v>
      </c>
      <c r="J495">
        <v>1</v>
      </c>
      <c r="K495">
        <v>330</v>
      </c>
    </row>
    <row r="496" spans="1:11" x14ac:dyDescent="0.35">
      <c r="A496" t="s">
        <v>629</v>
      </c>
      <c r="B496" s="4" t="s">
        <v>627</v>
      </c>
      <c r="C496">
        <v>11</v>
      </c>
      <c r="D496" t="s">
        <v>71</v>
      </c>
      <c r="E496" s="7">
        <v>45</v>
      </c>
      <c r="F496">
        <v>2250</v>
      </c>
      <c r="G496">
        <v>4</v>
      </c>
      <c r="H496">
        <v>4</v>
      </c>
      <c r="I496" t="s">
        <v>72</v>
      </c>
      <c r="J496">
        <v>1</v>
      </c>
      <c r="K496">
        <v>45</v>
      </c>
    </row>
    <row r="497" spans="1:11" x14ac:dyDescent="0.35">
      <c r="A497" t="s">
        <v>630</v>
      </c>
      <c r="B497" s="4" t="s">
        <v>627</v>
      </c>
      <c r="C497">
        <v>2</v>
      </c>
      <c r="D497" t="s">
        <v>71</v>
      </c>
      <c r="E497" s="7">
        <v>45</v>
      </c>
      <c r="F497">
        <v>2250</v>
      </c>
      <c r="G497">
        <v>4</v>
      </c>
      <c r="H497">
        <v>1</v>
      </c>
      <c r="I497" t="s">
        <v>72</v>
      </c>
      <c r="J497">
        <v>1</v>
      </c>
      <c r="K497">
        <v>85</v>
      </c>
    </row>
    <row r="498" spans="1:11" x14ac:dyDescent="0.35">
      <c r="A498" t="s">
        <v>631</v>
      </c>
      <c r="B498" s="4" t="s">
        <v>627</v>
      </c>
      <c r="C498">
        <v>11</v>
      </c>
      <c r="D498" t="s">
        <v>45</v>
      </c>
      <c r="E498" s="7">
        <v>-6</v>
      </c>
      <c r="F498">
        <v>-300</v>
      </c>
      <c r="G498">
        <v>1</v>
      </c>
      <c r="I498" t="s">
        <v>46</v>
      </c>
      <c r="J498">
        <v>1</v>
      </c>
      <c r="K498">
        <v>39</v>
      </c>
    </row>
    <row r="499" spans="1:11" x14ac:dyDescent="0.35">
      <c r="A499" t="s">
        <v>632</v>
      </c>
      <c r="B499" s="4" t="s">
        <v>627</v>
      </c>
      <c r="C499">
        <v>9</v>
      </c>
      <c r="D499" t="s">
        <v>45</v>
      </c>
      <c r="E499" s="7">
        <v>-6</v>
      </c>
      <c r="F499">
        <v>-300</v>
      </c>
      <c r="G499">
        <v>2</v>
      </c>
      <c r="I499" t="s">
        <v>46</v>
      </c>
      <c r="J499">
        <v>1</v>
      </c>
      <c r="K499">
        <v>32</v>
      </c>
    </row>
    <row r="500" spans="1:11" x14ac:dyDescent="0.35">
      <c r="A500" t="s">
        <v>633</v>
      </c>
      <c r="B500" s="4" t="s">
        <v>627</v>
      </c>
      <c r="C500">
        <v>9</v>
      </c>
      <c r="D500" t="s">
        <v>45</v>
      </c>
      <c r="E500" s="7">
        <v>-4</v>
      </c>
      <c r="F500">
        <v>-200</v>
      </c>
      <c r="G500">
        <v>3</v>
      </c>
      <c r="I500" t="s">
        <v>46</v>
      </c>
      <c r="J500">
        <v>1</v>
      </c>
      <c r="K500">
        <v>28</v>
      </c>
    </row>
    <row r="501" spans="1:11" x14ac:dyDescent="0.35">
      <c r="A501" t="s">
        <v>634</v>
      </c>
      <c r="B501" s="4" t="s">
        <v>627</v>
      </c>
      <c r="C501">
        <v>11</v>
      </c>
      <c r="D501" t="s">
        <v>45</v>
      </c>
      <c r="E501" s="7">
        <v>-5</v>
      </c>
      <c r="F501">
        <v>-250</v>
      </c>
      <c r="G501">
        <v>3</v>
      </c>
      <c r="I501" t="s">
        <v>46</v>
      </c>
      <c r="J501">
        <v>1</v>
      </c>
      <c r="K501">
        <v>34</v>
      </c>
    </row>
    <row r="502" spans="1:11" x14ac:dyDescent="0.35">
      <c r="A502" t="s">
        <v>635</v>
      </c>
      <c r="B502" s="4" t="s">
        <v>636</v>
      </c>
      <c r="C502">
        <v>11</v>
      </c>
      <c r="D502" t="s">
        <v>45</v>
      </c>
      <c r="E502" s="7">
        <v>-2</v>
      </c>
      <c r="F502">
        <v>-100</v>
      </c>
      <c r="G502">
        <v>1</v>
      </c>
      <c r="I502" t="s">
        <v>46</v>
      </c>
      <c r="J502">
        <v>1</v>
      </c>
      <c r="K502">
        <v>32</v>
      </c>
    </row>
    <row r="503" spans="1:11" x14ac:dyDescent="0.35">
      <c r="A503" t="s">
        <v>637</v>
      </c>
      <c r="B503" s="4" t="s">
        <v>636</v>
      </c>
      <c r="C503">
        <v>9</v>
      </c>
      <c r="D503" t="s">
        <v>45</v>
      </c>
      <c r="E503" s="7">
        <v>-2</v>
      </c>
      <c r="F503">
        <v>-100</v>
      </c>
      <c r="G503">
        <v>2</v>
      </c>
      <c r="I503" t="s">
        <v>46</v>
      </c>
      <c r="J503">
        <v>1</v>
      </c>
      <c r="K503">
        <v>26</v>
      </c>
    </row>
    <row r="504" spans="1:11" x14ac:dyDescent="0.35">
      <c r="A504" t="s">
        <v>638</v>
      </c>
      <c r="B504" s="4" t="s">
        <v>636</v>
      </c>
      <c r="C504">
        <v>11</v>
      </c>
      <c r="D504" t="s">
        <v>45</v>
      </c>
      <c r="E504" s="7">
        <v>-4</v>
      </c>
      <c r="F504">
        <v>-200</v>
      </c>
      <c r="G504">
        <v>2</v>
      </c>
      <c r="I504" t="s">
        <v>46</v>
      </c>
      <c r="J504">
        <v>1</v>
      </c>
      <c r="K504">
        <v>28</v>
      </c>
    </row>
    <row r="505" spans="1:11" x14ac:dyDescent="0.35">
      <c r="A505" t="s">
        <v>639</v>
      </c>
      <c r="B505" s="4" t="s">
        <v>636</v>
      </c>
      <c r="C505">
        <v>9</v>
      </c>
      <c r="D505" t="s">
        <v>45</v>
      </c>
      <c r="E505" s="7">
        <v>-5</v>
      </c>
      <c r="F505">
        <v>-250</v>
      </c>
      <c r="G505">
        <v>3</v>
      </c>
      <c r="I505" t="s">
        <v>46</v>
      </c>
      <c r="J505">
        <v>1</v>
      </c>
      <c r="K505">
        <v>21</v>
      </c>
    </row>
    <row r="506" spans="1:11" x14ac:dyDescent="0.35">
      <c r="A506" t="s">
        <v>640</v>
      </c>
      <c r="B506" s="4" t="s">
        <v>636</v>
      </c>
      <c r="C506">
        <v>11</v>
      </c>
      <c r="D506" t="s">
        <v>45</v>
      </c>
      <c r="E506" s="7">
        <v>-7</v>
      </c>
      <c r="F506">
        <v>-350</v>
      </c>
      <c r="G506">
        <v>3</v>
      </c>
      <c r="I506" t="s">
        <v>46</v>
      </c>
      <c r="J506">
        <v>1</v>
      </c>
      <c r="K506">
        <v>21</v>
      </c>
    </row>
    <row r="507" spans="1:11" x14ac:dyDescent="0.35">
      <c r="A507" t="s">
        <v>641</v>
      </c>
      <c r="B507" s="4" t="s">
        <v>642</v>
      </c>
      <c r="C507">
        <v>9</v>
      </c>
      <c r="D507" t="s">
        <v>45</v>
      </c>
      <c r="E507" s="7">
        <v>-4</v>
      </c>
      <c r="F507">
        <v>-200</v>
      </c>
      <c r="G507">
        <v>1</v>
      </c>
      <c r="I507" t="s">
        <v>46</v>
      </c>
      <c r="J507">
        <v>1</v>
      </c>
      <c r="K507">
        <v>17</v>
      </c>
    </row>
    <row r="508" spans="1:11" x14ac:dyDescent="0.35">
      <c r="A508" t="s">
        <v>643</v>
      </c>
      <c r="B508" s="4" t="s">
        <v>642</v>
      </c>
      <c r="C508">
        <v>9</v>
      </c>
      <c r="D508" t="s">
        <v>45</v>
      </c>
      <c r="E508" s="7">
        <v>-5</v>
      </c>
      <c r="F508">
        <v>-250</v>
      </c>
      <c r="G508">
        <v>2</v>
      </c>
      <c r="I508" t="s">
        <v>46</v>
      </c>
      <c r="J508">
        <v>1</v>
      </c>
      <c r="K508">
        <v>12</v>
      </c>
    </row>
    <row r="509" spans="1:11" x14ac:dyDescent="0.35">
      <c r="A509" t="s">
        <v>644</v>
      </c>
      <c r="B509" s="4" t="s">
        <v>642</v>
      </c>
      <c r="C509">
        <v>11</v>
      </c>
      <c r="D509" t="s">
        <v>45</v>
      </c>
      <c r="E509" s="7">
        <v>-5</v>
      </c>
      <c r="F509">
        <v>-250</v>
      </c>
      <c r="G509">
        <v>2</v>
      </c>
      <c r="I509" t="s">
        <v>46</v>
      </c>
      <c r="J509">
        <v>1</v>
      </c>
      <c r="K509">
        <v>16</v>
      </c>
    </row>
    <row r="510" spans="1:11" x14ac:dyDescent="0.35">
      <c r="A510" t="s">
        <v>645</v>
      </c>
      <c r="B510" s="4" t="s">
        <v>642</v>
      </c>
      <c r="C510">
        <v>9</v>
      </c>
      <c r="D510" t="s">
        <v>45</v>
      </c>
      <c r="E510" s="7">
        <v>-5</v>
      </c>
      <c r="F510">
        <v>-250</v>
      </c>
      <c r="G510">
        <v>3</v>
      </c>
      <c r="I510" t="s">
        <v>46</v>
      </c>
      <c r="J510">
        <v>1</v>
      </c>
      <c r="K510">
        <v>7</v>
      </c>
    </row>
    <row r="511" spans="1:11" x14ac:dyDescent="0.35">
      <c r="A511" t="s">
        <v>646</v>
      </c>
      <c r="B511" s="4" t="s">
        <v>647</v>
      </c>
      <c r="C511">
        <v>9</v>
      </c>
      <c r="D511" t="s">
        <v>45</v>
      </c>
      <c r="E511" s="7">
        <v>-3</v>
      </c>
      <c r="F511">
        <v>-150</v>
      </c>
      <c r="G511">
        <v>1</v>
      </c>
      <c r="I511" t="s">
        <v>46</v>
      </c>
      <c r="J511">
        <v>1</v>
      </c>
      <c r="K511">
        <v>4</v>
      </c>
    </row>
    <row r="512" spans="1:11" x14ac:dyDescent="0.35">
      <c r="A512" t="s">
        <v>648</v>
      </c>
      <c r="B512" s="4" t="s">
        <v>647</v>
      </c>
      <c r="C512">
        <v>11</v>
      </c>
      <c r="D512" t="s">
        <v>45</v>
      </c>
      <c r="E512" s="7">
        <v>-2</v>
      </c>
      <c r="F512">
        <v>-100</v>
      </c>
      <c r="G512">
        <v>1</v>
      </c>
      <c r="I512" t="s">
        <v>46</v>
      </c>
      <c r="J512">
        <v>1</v>
      </c>
      <c r="K512">
        <v>14</v>
      </c>
    </row>
    <row r="513" spans="1:11" x14ac:dyDescent="0.35">
      <c r="A513" t="s">
        <v>649</v>
      </c>
      <c r="B513" s="4" t="s">
        <v>647</v>
      </c>
      <c r="C513">
        <v>9</v>
      </c>
      <c r="D513" t="s">
        <v>45</v>
      </c>
      <c r="E513" s="7">
        <v>-3</v>
      </c>
      <c r="F513">
        <v>-150</v>
      </c>
      <c r="G513">
        <v>2</v>
      </c>
      <c r="I513" t="s">
        <v>46</v>
      </c>
      <c r="J513">
        <v>1</v>
      </c>
      <c r="K513">
        <v>1</v>
      </c>
    </row>
    <row r="514" spans="1:11" x14ac:dyDescent="0.35">
      <c r="A514" t="s">
        <v>650</v>
      </c>
      <c r="B514" s="4" t="s">
        <v>647</v>
      </c>
      <c r="C514">
        <v>11</v>
      </c>
      <c r="D514" t="s">
        <v>45</v>
      </c>
      <c r="E514" s="7">
        <v>-2</v>
      </c>
      <c r="F514">
        <v>-100</v>
      </c>
      <c r="G514">
        <v>2</v>
      </c>
      <c r="I514" t="s">
        <v>46</v>
      </c>
      <c r="J514">
        <v>1</v>
      </c>
      <c r="K514">
        <v>12</v>
      </c>
    </row>
    <row r="515" spans="1:11" x14ac:dyDescent="0.35">
      <c r="A515" t="s">
        <v>651</v>
      </c>
      <c r="B515" s="4" t="s">
        <v>647</v>
      </c>
      <c r="C515">
        <v>11</v>
      </c>
      <c r="D515" t="s">
        <v>45</v>
      </c>
      <c r="E515" s="7">
        <v>-6</v>
      </c>
      <c r="F515">
        <v>-300</v>
      </c>
      <c r="G515">
        <v>3</v>
      </c>
      <c r="I515" t="s">
        <v>46</v>
      </c>
      <c r="J515">
        <v>1</v>
      </c>
      <c r="K515">
        <v>6</v>
      </c>
    </row>
    <row r="516" spans="1:11" x14ac:dyDescent="0.35">
      <c r="A516" t="s">
        <v>652</v>
      </c>
      <c r="B516" s="4" t="s">
        <v>653</v>
      </c>
      <c r="C516">
        <v>11</v>
      </c>
      <c r="D516" t="s">
        <v>45</v>
      </c>
      <c r="E516" s="7">
        <v>-5</v>
      </c>
      <c r="F516">
        <v>-250</v>
      </c>
      <c r="G516">
        <v>1</v>
      </c>
      <c r="I516" t="s">
        <v>46</v>
      </c>
      <c r="J516">
        <v>1</v>
      </c>
      <c r="K516">
        <v>1</v>
      </c>
    </row>
    <row r="517" spans="1:11" x14ac:dyDescent="0.35">
      <c r="A517" t="s">
        <v>654</v>
      </c>
      <c r="B517" s="4" t="s">
        <v>655</v>
      </c>
      <c r="C517">
        <v>16</v>
      </c>
      <c r="D517" t="s">
        <v>71</v>
      </c>
      <c r="E517" s="7">
        <v>39</v>
      </c>
      <c r="F517">
        <v>1950</v>
      </c>
      <c r="G517">
        <v>4</v>
      </c>
      <c r="H517">
        <v>1</v>
      </c>
      <c r="I517" t="s">
        <v>72</v>
      </c>
      <c r="J517">
        <v>1</v>
      </c>
      <c r="K517">
        <v>195</v>
      </c>
    </row>
    <row r="518" spans="1:11" x14ac:dyDescent="0.35">
      <c r="A518" t="s">
        <v>656</v>
      </c>
      <c r="B518" s="4" t="s">
        <v>655</v>
      </c>
      <c r="C518">
        <v>22</v>
      </c>
      <c r="D518" t="s">
        <v>71</v>
      </c>
      <c r="E518" s="7">
        <v>34</v>
      </c>
      <c r="F518">
        <v>1700</v>
      </c>
      <c r="G518">
        <v>4</v>
      </c>
      <c r="H518">
        <v>3</v>
      </c>
      <c r="I518" t="s">
        <v>72</v>
      </c>
      <c r="J518">
        <v>1</v>
      </c>
      <c r="K518">
        <v>364</v>
      </c>
    </row>
    <row r="519" spans="1:11" x14ac:dyDescent="0.35">
      <c r="A519" t="s">
        <v>657</v>
      </c>
      <c r="B519" s="4" t="s">
        <v>655</v>
      </c>
      <c r="C519">
        <v>4</v>
      </c>
      <c r="D519" t="s">
        <v>71</v>
      </c>
      <c r="E519" s="7">
        <v>44</v>
      </c>
      <c r="F519">
        <v>2200</v>
      </c>
      <c r="G519">
        <v>4</v>
      </c>
      <c r="H519">
        <v>3</v>
      </c>
      <c r="I519" t="s">
        <v>72</v>
      </c>
      <c r="J519">
        <v>1</v>
      </c>
      <c r="K519">
        <v>44</v>
      </c>
    </row>
    <row r="520" spans="1:11" x14ac:dyDescent="0.35">
      <c r="A520" t="s">
        <v>658</v>
      </c>
      <c r="B520" s="4" t="s">
        <v>655</v>
      </c>
      <c r="C520">
        <v>34</v>
      </c>
      <c r="D520" t="s">
        <v>71</v>
      </c>
      <c r="E520" s="7">
        <v>23</v>
      </c>
      <c r="F520">
        <v>1150</v>
      </c>
      <c r="G520">
        <v>4</v>
      </c>
      <c r="H520">
        <v>4</v>
      </c>
      <c r="I520" t="s">
        <v>72</v>
      </c>
      <c r="J520">
        <v>1</v>
      </c>
      <c r="K520">
        <v>308</v>
      </c>
    </row>
    <row r="521" spans="1:11" x14ac:dyDescent="0.35">
      <c r="A521" t="s">
        <v>659</v>
      </c>
      <c r="B521" s="4" t="s">
        <v>655</v>
      </c>
      <c r="C521">
        <v>5</v>
      </c>
      <c r="D521" t="s">
        <v>71</v>
      </c>
      <c r="E521" s="7">
        <v>40</v>
      </c>
      <c r="F521">
        <v>2000</v>
      </c>
      <c r="G521">
        <v>4</v>
      </c>
      <c r="H521">
        <v>3</v>
      </c>
      <c r="I521" t="s">
        <v>72</v>
      </c>
      <c r="J521">
        <v>1</v>
      </c>
      <c r="K521">
        <v>40</v>
      </c>
    </row>
    <row r="522" spans="1:11" x14ac:dyDescent="0.35">
      <c r="A522" t="s">
        <v>660</v>
      </c>
      <c r="B522" s="4" t="s">
        <v>655</v>
      </c>
      <c r="C522">
        <v>4</v>
      </c>
      <c r="D522" t="s">
        <v>45</v>
      </c>
      <c r="E522" s="7">
        <v>-2</v>
      </c>
      <c r="F522">
        <v>-100</v>
      </c>
      <c r="G522">
        <v>1</v>
      </c>
      <c r="I522" t="s">
        <v>46</v>
      </c>
      <c r="J522">
        <v>1</v>
      </c>
      <c r="K522">
        <v>42</v>
      </c>
    </row>
    <row r="523" spans="1:11" x14ac:dyDescent="0.35">
      <c r="A523" t="s">
        <v>661</v>
      </c>
      <c r="B523" s="4" t="s">
        <v>655</v>
      </c>
      <c r="C523">
        <v>5</v>
      </c>
      <c r="D523" t="s">
        <v>45</v>
      </c>
      <c r="E523" s="7">
        <v>-7</v>
      </c>
      <c r="F523">
        <v>-350</v>
      </c>
      <c r="G523">
        <v>1</v>
      </c>
      <c r="I523" t="s">
        <v>46</v>
      </c>
      <c r="J523">
        <v>1</v>
      </c>
      <c r="K523">
        <v>33</v>
      </c>
    </row>
    <row r="524" spans="1:11" x14ac:dyDescent="0.35">
      <c r="A524" t="s">
        <v>662</v>
      </c>
      <c r="B524" s="4" t="s">
        <v>655</v>
      </c>
      <c r="C524">
        <v>4</v>
      </c>
      <c r="D524" t="s">
        <v>45</v>
      </c>
      <c r="E524" s="7">
        <v>-7</v>
      </c>
      <c r="F524">
        <v>-350</v>
      </c>
      <c r="G524">
        <v>2</v>
      </c>
      <c r="I524" t="s">
        <v>46</v>
      </c>
      <c r="J524">
        <v>1</v>
      </c>
      <c r="K524">
        <v>35</v>
      </c>
    </row>
    <row r="525" spans="1:11" x14ac:dyDescent="0.35">
      <c r="A525" t="s">
        <v>663</v>
      </c>
      <c r="B525" s="4" t="s">
        <v>655</v>
      </c>
      <c r="C525">
        <v>5</v>
      </c>
      <c r="D525" t="s">
        <v>45</v>
      </c>
      <c r="E525" s="7">
        <v>-6</v>
      </c>
      <c r="F525">
        <v>-300</v>
      </c>
      <c r="G525">
        <v>2</v>
      </c>
      <c r="I525" t="s">
        <v>46</v>
      </c>
      <c r="J525">
        <v>1</v>
      </c>
      <c r="K525">
        <v>27</v>
      </c>
    </row>
    <row r="526" spans="1:11" x14ac:dyDescent="0.35">
      <c r="A526" t="s">
        <v>664</v>
      </c>
      <c r="B526" s="4" t="s">
        <v>655</v>
      </c>
      <c r="C526">
        <v>4</v>
      </c>
      <c r="D526" t="s">
        <v>45</v>
      </c>
      <c r="E526" s="7">
        <v>-7</v>
      </c>
      <c r="F526">
        <v>-350</v>
      </c>
      <c r="G526">
        <v>3</v>
      </c>
      <c r="I526" t="s">
        <v>46</v>
      </c>
      <c r="J526">
        <v>1</v>
      </c>
      <c r="K526">
        <v>28</v>
      </c>
    </row>
    <row r="527" spans="1:11" x14ac:dyDescent="0.35">
      <c r="A527" t="s">
        <v>665</v>
      </c>
      <c r="B527" s="4" t="s">
        <v>655</v>
      </c>
      <c r="C527">
        <v>5</v>
      </c>
      <c r="D527" t="s">
        <v>45</v>
      </c>
      <c r="E527" s="7">
        <v>-5</v>
      </c>
      <c r="F527">
        <v>-250</v>
      </c>
      <c r="G527">
        <v>3</v>
      </c>
      <c r="I527" t="s">
        <v>46</v>
      </c>
      <c r="J527">
        <v>1</v>
      </c>
      <c r="K527">
        <v>22</v>
      </c>
    </row>
    <row r="528" spans="1:11" x14ac:dyDescent="0.35">
      <c r="A528" t="s">
        <v>666</v>
      </c>
      <c r="B528" s="4" t="s">
        <v>667</v>
      </c>
      <c r="C528">
        <v>4</v>
      </c>
      <c r="D528" t="s">
        <v>45</v>
      </c>
      <c r="E528" s="7">
        <v>-5</v>
      </c>
      <c r="F528">
        <v>-250</v>
      </c>
      <c r="G528">
        <v>1</v>
      </c>
      <c r="I528" t="s">
        <v>46</v>
      </c>
      <c r="J528">
        <v>1</v>
      </c>
      <c r="K528">
        <v>23</v>
      </c>
    </row>
    <row r="529" spans="1:11" x14ac:dyDescent="0.35">
      <c r="A529" t="s">
        <v>668</v>
      </c>
      <c r="B529" s="4" t="s">
        <v>667</v>
      </c>
      <c r="C529">
        <v>4</v>
      </c>
      <c r="D529" t="s">
        <v>45</v>
      </c>
      <c r="E529" s="7">
        <v>-6</v>
      </c>
      <c r="F529">
        <v>-300</v>
      </c>
      <c r="G529">
        <v>2</v>
      </c>
      <c r="I529" t="s">
        <v>46</v>
      </c>
      <c r="J529">
        <v>1</v>
      </c>
      <c r="K529">
        <v>17</v>
      </c>
    </row>
    <row r="530" spans="1:11" x14ac:dyDescent="0.35">
      <c r="A530" t="s">
        <v>669</v>
      </c>
      <c r="B530" s="4" t="s">
        <v>667</v>
      </c>
      <c r="C530">
        <v>4</v>
      </c>
      <c r="D530" t="s">
        <v>45</v>
      </c>
      <c r="E530" s="7">
        <v>-4</v>
      </c>
      <c r="F530">
        <v>-200</v>
      </c>
      <c r="G530">
        <v>3</v>
      </c>
      <c r="I530" t="s">
        <v>46</v>
      </c>
      <c r="J530">
        <v>1</v>
      </c>
      <c r="K530">
        <v>13</v>
      </c>
    </row>
    <row r="531" spans="1:11" x14ac:dyDescent="0.35">
      <c r="A531" t="s">
        <v>670</v>
      </c>
      <c r="B531" s="4" t="s">
        <v>667</v>
      </c>
      <c r="C531">
        <v>5</v>
      </c>
      <c r="D531" t="s">
        <v>45</v>
      </c>
      <c r="E531" s="7">
        <v>-3</v>
      </c>
      <c r="F531">
        <v>-150</v>
      </c>
      <c r="G531">
        <v>3</v>
      </c>
      <c r="I531" t="s">
        <v>46</v>
      </c>
      <c r="J531">
        <v>1</v>
      </c>
      <c r="K531">
        <v>19</v>
      </c>
    </row>
    <row r="532" spans="1:11" x14ac:dyDescent="0.35">
      <c r="A532" t="s">
        <v>671</v>
      </c>
      <c r="B532" s="4" t="s">
        <v>672</v>
      </c>
      <c r="C532">
        <v>4</v>
      </c>
      <c r="D532" t="s">
        <v>45</v>
      </c>
      <c r="E532" s="7">
        <v>-3</v>
      </c>
      <c r="F532">
        <v>-150</v>
      </c>
      <c r="G532">
        <v>1</v>
      </c>
      <c r="I532" t="s">
        <v>46</v>
      </c>
      <c r="J532">
        <v>1</v>
      </c>
      <c r="K532">
        <v>10</v>
      </c>
    </row>
    <row r="533" spans="1:11" x14ac:dyDescent="0.35">
      <c r="A533" t="s">
        <v>673</v>
      </c>
      <c r="B533" s="4" t="s">
        <v>672</v>
      </c>
      <c r="C533">
        <v>5</v>
      </c>
      <c r="D533" t="s">
        <v>45</v>
      </c>
      <c r="E533" s="7">
        <v>-3</v>
      </c>
      <c r="F533">
        <v>-150</v>
      </c>
      <c r="G533">
        <v>1</v>
      </c>
      <c r="I533" t="s">
        <v>46</v>
      </c>
      <c r="J533">
        <v>1</v>
      </c>
      <c r="K533">
        <v>16</v>
      </c>
    </row>
    <row r="534" spans="1:11" x14ac:dyDescent="0.35">
      <c r="A534" t="s">
        <v>674</v>
      </c>
      <c r="B534" s="4" t="s">
        <v>672</v>
      </c>
      <c r="C534">
        <v>4</v>
      </c>
      <c r="D534" t="s">
        <v>45</v>
      </c>
      <c r="E534" s="7">
        <v>-4</v>
      </c>
      <c r="F534">
        <v>-200</v>
      </c>
      <c r="G534">
        <v>2</v>
      </c>
      <c r="I534" t="s">
        <v>46</v>
      </c>
      <c r="J534">
        <v>1</v>
      </c>
      <c r="K534">
        <v>6</v>
      </c>
    </row>
    <row r="535" spans="1:11" x14ac:dyDescent="0.35">
      <c r="A535" t="s">
        <v>675</v>
      </c>
      <c r="B535" s="4" t="s">
        <v>676</v>
      </c>
      <c r="C535">
        <v>5</v>
      </c>
      <c r="D535" t="s">
        <v>45</v>
      </c>
      <c r="E535" s="7">
        <v>-6</v>
      </c>
      <c r="F535">
        <v>-300</v>
      </c>
      <c r="G535">
        <v>1</v>
      </c>
      <c r="I535" t="s">
        <v>46</v>
      </c>
      <c r="J535">
        <v>1</v>
      </c>
      <c r="K535">
        <v>10</v>
      </c>
    </row>
    <row r="536" spans="1:11" x14ac:dyDescent="0.35">
      <c r="A536" t="s">
        <v>677</v>
      </c>
      <c r="B536" s="4" t="s">
        <v>676</v>
      </c>
      <c r="C536">
        <v>5</v>
      </c>
      <c r="D536" t="s">
        <v>45</v>
      </c>
      <c r="E536" s="7">
        <v>-5</v>
      </c>
      <c r="F536">
        <v>-250</v>
      </c>
      <c r="G536">
        <v>2</v>
      </c>
      <c r="I536" t="s">
        <v>46</v>
      </c>
      <c r="J536">
        <v>1</v>
      </c>
      <c r="K536">
        <v>5</v>
      </c>
    </row>
    <row r="537" spans="1:11" x14ac:dyDescent="0.35">
      <c r="A537" t="s">
        <v>678</v>
      </c>
      <c r="B537" s="4" t="s">
        <v>676</v>
      </c>
      <c r="C537">
        <v>4</v>
      </c>
      <c r="D537" t="s">
        <v>45</v>
      </c>
      <c r="E537" s="7">
        <v>-4</v>
      </c>
      <c r="F537">
        <v>-200</v>
      </c>
      <c r="G537">
        <v>3</v>
      </c>
      <c r="I537" t="s">
        <v>46</v>
      </c>
      <c r="J537">
        <v>1</v>
      </c>
      <c r="K537">
        <v>2</v>
      </c>
    </row>
    <row r="538" spans="1:11" x14ac:dyDescent="0.35">
      <c r="A538" t="s">
        <v>679</v>
      </c>
      <c r="B538" s="4" t="s">
        <v>676</v>
      </c>
      <c r="C538">
        <v>5</v>
      </c>
      <c r="D538" t="s">
        <v>45</v>
      </c>
      <c r="E538" s="7">
        <v>-2</v>
      </c>
      <c r="F538">
        <v>-100</v>
      </c>
      <c r="G538">
        <v>3</v>
      </c>
      <c r="I538" t="s">
        <v>46</v>
      </c>
      <c r="J538">
        <v>1</v>
      </c>
      <c r="K538">
        <v>3</v>
      </c>
    </row>
    <row r="539" spans="1:11" x14ac:dyDescent="0.35">
      <c r="A539" t="s">
        <v>680</v>
      </c>
      <c r="B539" s="4" t="s">
        <v>681</v>
      </c>
      <c r="C539">
        <v>4</v>
      </c>
      <c r="D539" t="s">
        <v>45</v>
      </c>
      <c r="E539" s="7">
        <v>-2</v>
      </c>
      <c r="F539">
        <v>-100</v>
      </c>
      <c r="G539">
        <v>3</v>
      </c>
      <c r="I539" t="s">
        <v>46</v>
      </c>
      <c r="J539">
        <v>1</v>
      </c>
      <c r="K539">
        <v>0</v>
      </c>
    </row>
    <row r="540" spans="1:11" x14ac:dyDescent="0.35">
      <c r="A540" t="s">
        <v>682</v>
      </c>
      <c r="B540" s="4" t="s">
        <v>683</v>
      </c>
      <c r="C540">
        <v>27</v>
      </c>
      <c r="D540" t="s">
        <v>71</v>
      </c>
      <c r="E540" s="7">
        <v>24</v>
      </c>
      <c r="F540">
        <v>1200</v>
      </c>
      <c r="G540">
        <v>4</v>
      </c>
      <c r="H540">
        <v>4</v>
      </c>
      <c r="I540" t="s">
        <v>72</v>
      </c>
      <c r="J540">
        <v>1</v>
      </c>
      <c r="K540">
        <v>256</v>
      </c>
    </row>
    <row r="541" spans="1:11" x14ac:dyDescent="0.35">
      <c r="A541" t="s">
        <v>684</v>
      </c>
      <c r="B541" s="4" t="s">
        <v>683</v>
      </c>
      <c r="C541">
        <v>26</v>
      </c>
      <c r="D541" t="s">
        <v>71</v>
      </c>
      <c r="E541" s="7">
        <v>37</v>
      </c>
      <c r="F541">
        <v>1850</v>
      </c>
      <c r="G541">
        <v>4</v>
      </c>
      <c r="H541">
        <v>4</v>
      </c>
      <c r="I541" t="s">
        <v>72</v>
      </c>
      <c r="J541">
        <v>1</v>
      </c>
      <c r="K541">
        <v>315</v>
      </c>
    </row>
    <row r="542" spans="1:11" x14ac:dyDescent="0.35">
      <c r="A542" t="s">
        <v>685</v>
      </c>
      <c r="B542" s="4" t="s">
        <v>683</v>
      </c>
      <c r="C542">
        <v>11</v>
      </c>
      <c r="D542" t="s">
        <v>71</v>
      </c>
      <c r="E542" s="7">
        <v>33</v>
      </c>
      <c r="F542">
        <v>1650</v>
      </c>
      <c r="G542">
        <v>4</v>
      </c>
      <c r="H542">
        <v>4</v>
      </c>
      <c r="I542" t="s">
        <v>72</v>
      </c>
      <c r="J542">
        <v>1</v>
      </c>
      <c r="K542">
        <v>34</v>
      </c>
    </row>
    <row r="543" spans="1:11" x14ac:dyDescent="0.35">
      <c r="A543" t="s">
        <v>686</v>
      </c>
      <c r="B543" s="4" t="s">
        <v>683</v>
      </c>
      <c r="C543">
        <v>8</v>
      </c>
      <c r="D543" t="s">
        <v>71</v>
      </c>
      <c r="E543" s="7">
        <v>35</v>
      </c>
      <c r="F543">
        <v>1750</v>
      </c>
      <c r="G543">
        <v>4</v>
      </c>
      <c r="H543">
        <v>4</v>
      </c>
      <c r="I543" t="s">
        <v>72</v>
      </c>
      <c r="J543">
        <v>1</v>
      </c>
      <c r="K543">
        <v>35</v>
      </c>
    </row>
    <row r="544" spans="1:11" x14ac:dyDescent="0.35">
      <c r="A544" t="s">
        <v>687</v>
      </c>
      <c r="B544" s="4" t="s">
        <v>683</v>
      </c>
      <c r="C544">
        <v>8</v>
      </c>
      <c r="D544" t="s">
        <v>45</v>
      </c>
      <c r="E544" s="7">
        <v>-5</v>
      </c>
      <c r="F544">
        <v>-250</v>
      </c>
      <c r="G544">
        <v>1</v>
      </c>
      <c r="I544" t="s">
        <v>46</v>
      </c>
      <c r="J544">
        <v>1</v>
      </c>
      <c r="K544">
        <v>30</v>
      </c>
    </row>
    <row r="545" spans="1:11" x14ac:dyDescent="0.35">
      <c r="A545" t="s">
        <v>688</v>
      </c>
      <c r="B545" s="4" t="s">
        <v>683</v>
      </c>
      <c r="C545">
        <v>11</v>
      </c>
      <c r="D545" t="s">
        <v>45</v>
      </c>
      <c r="E545" s="7">
        <v>-4</v>
      </c>
      <c r="F545">
        <v>-200</v>
      </c>
      <c r="G545">
        <v>1</v>
      </c>
      <c r="I545" t="s">
        <v>46</v>
      </c>
      <c r="J545">
        <v>1</v>
      </c>
      <c r="K545">
        <v>30</v>
      </c>
    </row>
    <row r="546" spans="1:11" x14ac:dyDescent="0.35">
      <c r="A546" t="s">
        <v>689</v>
      </c>
      <c r="B546" s="4" t="s">
        <v>683</v>
      </c>
      <c r="C546">
        <v>8</v>
      </c>
      <c r="D546" t="s">
        <v>45</v>
      </c>
      <c r="E546" s="7">
        <v>-5</v>
      </c>
      <c r="F546">
        <v>-250</v>
      </c>
      <c r="G546">
        <v>3</v>
      </c>
      <c r="I546" t="s">
        <v>46</v>
      </c>
      <c r="J546">
        <v>1</v>
      </c>
      <c r="K546">
        <v>25</v>
      </c>
    </row>
    <row r="547" spans="1:11" x14ac:dyDescent="0.35">
      <c r="A547" t="s">
        <v>690</v>
      </c>
      <c r="B547" s="4" t="s">
        <v>683</v>
      </c>
      <c r="C547">
        <v>11</v>
      </c>
      <c r="D547" t="s">
        <v>45</v>
      </c>
      <c r="E547" s="7">
        <v>-3</v>
      </c>
      <c r="F547">
        <v>-150</v>
      </c>
      <c r="G547">
        <v>3</v>
      </c>
      <c r="I547" t="s">
        <v>46</v>
      </c>
      <c r="J547">
        <v>1</v>
      </c>
      <c r="K547">
        <v>27</v>
      </c>
    </row>
    <row r="548" spans="1:11" x14ac:dyDescent="0.35">
      <c r="A548" t="s">
        <v>691</v>
      </c>
      <c r="B548" s="4" t="s">
        <v>692</v>
      </c>
      <c r="C548">
        <v>8</v>
      </c>
      <c r="D548" t="s">
        <v>45</v>
      </c>
      <c r="E548" s="7">
        <v>-7</v>
      </c>
      <c r="F548">
        <v>-350</v>
      </c>
      <c r="G548">
        <v>1</v>
      </c>
      <c r="I548" t="s">
        <v>46</v>
      </c>
      <c r="J548">
        <v>1</v>
      </c>
      <c r="K548">
        <v>18</v>
      </c>
    </row>
    <row r="549" spans="1:11" x14ac:dyDescent="0.35">
      <c r="A549" t="s">
        <v>693</v>
      </c>
      <c r="B549" s="4" t="s">
        <v>692</v>
      </c>
      <c r="C549">
        <v>11</v>
      </c>
      <c r="D549" t="s">
        <v>45</v>
      </c>
      <c r="E549" s="7">
        <v>-4</v>
      </c>
      <c r="F549">
        <v>-200</v>
      </c>
      <c r="G549">
        <v>1</v>
      </c>
      <c r="I549" t="s">
        <v>46</v>
      </c>
      <c r="J549">
        <v>1</v>
      </c>
      <c r="K549">
        <v>23</v>
      </c>
    </row>
    <row r="550" spans="1:11" x14ac:dyDescent="0.35">
      <c r="A550" t="s">
        <v>694</v>
      </c>
      <c r="B550" s="4" t="s">
        <v>692</v>
      </c>
      <c r="C550">
        <v>5</v>
      </c>
      <c r="D550" t="s">
        <v>45</v>
      </c>
      <c r="E550" s="7">
        <v>-3</v>
      </c>
      <c r="F550">
        <v>-150</v>
      </c>
      <c r="G550">
        <v>2</v>
      </c>
      <c r="I550" t="s">
        <v>46</v>
      </c>
      <c r="J550">
        <v>1</v>
      </c>
      <c r="K550">
        <v>0</v>
      </c>
    </row>
    <row r="551" spans="1:11" x14ac:dyDescent="0.35">
      <c r="A551" t="s">
        <v>695</v>
      </c>
      <c r="B551" s="4" t="s">
        <v>692</v>
      </c>
      <c r="C551">
        <v>8</v>
      </c>
      <c r="D551" t="s">
        <v>45</v>
      </c>
      <c r="E551" s="7">
        <v>-4</v>
      </c>
      <c r="F551">
        <v>-200</v>
      </c>
      <c r="G551">
        <v>2</v>
      </c>
      <c r="I551" t="s">
        <v>46</v>
      </c>
      <c r="J551">
        <v>1</v>
      </c>
      <c r="K551">
        <v>14</v>
      </c>
    </row>
    <row r="552" spans="1:11" x14ac:dyDescent="0.35">
      <c r="A552" t="s">
        <v>696</v>
      </c>
      <c r="B552" s="4" t="s">
        <v>692</v>
      </c>
      <c r="C552">
        <v>11</v>
      </c>
      <c r="D552" t="s">
        <v>45</v>
      </c>
      <c r="E552" s="7">
        <v>-6</v>
      </c>
      <c r="F552">
        <v>-300</v>
      </c>
      <c r="G552">
        <v>2</v>
      </c>
      <c r="I552" t="s">
        <v>46</v>
      </c>
      <c r="J552">
        <v>1</v>
      </c>
      <c r="K552">
        <v>17</v>
      </c>
    </row>
    <row r="553" spans="1:11" x14ac:dyDescent="0.35">
      <c r="A553" t="s">
        <v>697</v>
      </c>
      <c r="B553" s="4" t="s">
        <v>692</v>
      </c>
      <c r="C553">
        <v>8</v>
      </c>
      <c r="D553" t="s">
        <v>45</v>
      </c>
      <c r="E553" s="7">
        <v>-2</v>
      </c>
      <c r="F553">
        <v>-100</v>
      </c>
      <c r="G553">
        <v>3</v>
      </c>
      <c r="I553" t="s">
        <v>46</v>
      </c>
      <c r="J553">
        <v>1</v>
      </c>
      <c r="K553">
        <v>12</v>
      </c>
    </row>
    <row r="554" spans="1:11" x14ac:dyDescent="0.35">
      <c r="A554" t="s">
        <v>698</v>
      </c>
      <c r="B554" s="4" t="s">
        <v>692</v>
      </c>
      <c r="C554">
        <v>11</v>
      </c>
      <c r="D554" t="s">
        <v>45</v>
      </c>
      <c r="E554" s="7">
        <v>-3</v>
      </c>
      <c r="F554">
        <v>-150</v>
      </c>
      <c r="G554">
        <v>3</v>
      </c>
      <c r="I554" t="s">
        <v>46</v>
      </c>
      <c r="J554">
        <v>1</v>
      </c>
      <c r="K554">
        <v>14</v>
      </c>
    </row>
    <row r="555" spans="1:11" x14ac:dyDescent="0.35">
      <c r="A555" t="s">
        <v>699</v>
      </c>
      <c r="B555" s="4" t="s">
        <v>700</v>
      </c>
      <c r="C555">
        <v>8</v>
      </c>
      <c r="D555" t="s">
        <v>45</v>
      </c>
      <c r="E555" s="7">
        <v>-5</v>
      </c>
      <c r="F555">
        <v>-250</v>
      </c>
      <c r="G555">
        <v>1</v>
      </c>
      <c r="I555" t="s">
        <v>46</v>
      </c>
      <c r="J555">
        <v>1</v>
      </c>
      <c r="K555">
        <v>7</v>
      </c>
    </row>
    <row r="556" spans="1:11" x14ac:dyDescent="0.35">
      <c r="A556" t="s">
        <v>701</v>
      </c>
      <c r="B556" s="4" t="s">
        <v>700</v>
      </c>
      <c r="C556">
        <v>8</v>
      </c>
      <c r="D556" t="s">
        <v>45</v>
      </c>
      <c r="E556" s="7">
        <v>-7</v>
      </c>
      <c r="F556">
        <v>-350</v>
      </c>
      <c r="G556">
        <v>2</v>
      </c>
      <c r="I556" t="s">
        <v>46</v>
      </c>
      <c r="J556">
        <v>1</v>
      </c>
      <c r="K556">
        <v>0</v>
      </c>
    </row>
    <row r="557" spans="1:11" x14ac:dyDescent="0.35">
      <c r="A557" t="s">
        <v>702</v>
      </c>
      <c r="B557" s="4" t="s">
        <v>700</v>
      </c>
      <c r="C557">
        <v>11</v>
      </c>
      <c r="D557" t="s">
        <v>45</v>
      </c>
      <c r="E557" s="7">
        <v>-7</v>
      </c>
      <c r="F557">
        <v>-350</v>
      </c>
      <c r="G557">
        <v>2</v>
      </c>
      <c r="I557" t="s">
        <v>46</v>
      </c>
      <c r="J557">
        <v>1</v>
      </c>
      <c r="K557">
        <v>7</v>
      </c>
    </row>
    <row r="558" spans="1:11" x14ac:dyDescent="0.35">
      <c r="A558" t="s">
        <v>703</v>
      </c>
      <c r="B558" s="4" t="s">
        <v>700</v>
      </c>
      <c r="C558">
        <v>11</v>
      </c>
      <c r="D558" t="s">
        <v>45</v>
      </c>
      <c r="E558" s="7">
        <v>-7</v>
      </c>
      <c r="F558">
        <v>-350</v>
      </c>
      <c r="G558">
        <v>3</v>
      </c>
      <c r="I558" t="s">
        <v>46</v>
      </c>
      <c r="J558">
        <v>1</v>
      </c>
      <c r="K558">
        <v>0</v>
      </c>
    </row>
    <row r="559" spans="1:11" x14ac:dyDescent="0.35">
      <c r="A559" t="s">
        <v>704</v>
      </c>
      <c r="B559" s="4" t="s">
        <v>705</v>
      </c>
      <c r="C559">
        <v>27</v>
      </c>
      <c r="D559" t="s">
        <v>71</v>
      </c>
      <c r="E559" s="7">
        <v>23</v>
      </c>
      <c r="F559">
        <v>1150</v>
      </c>
      <c r="G559">
        <v>4</v>
      </c>
      <c r="H559">
        <v>4</v>
      </c>
      <c r="I559" t="s">
        <v>72</v>
      </c>
      <c r="J559">
        <v>1</v>
      </c>
      <c r="K559">
        <v>279</v>
      </c>
    </row>
    <row r="560" spans="1:11" x14ac:dyDescent="0.35">
      <c r="A560" t="s">
        <v>706</v>
      </c>
      <c r="B560" s="4" t="s">
        <v>705</v>
      </c>
      <c r="C560">
        <v>20</v>
      </c>
      <c r="D560" t="s">
        <v>71</v>
      </c>
      <c r="E560" s="7">
        <v>42</v>
      </c>
      <c r="F560">
        <v>2100</v>
      </c>
      <c r="G560">
        <v>4</v>
      </c>
      <c r="H560">
        <v>3</v>
      </c>
      <c r="I560" t="s">
        <v>72</v>
      </c>
      <c r="J560">
        <v>1</v>
      </c>
      <c r="K560">
        <v>142</v>
      </c>
    </row>
    <row r="561" spans="1:11" x14ac:dyDescent="0.35">
      <c r="A561" t="s">
        <v>707</v>
      </c>
      <c r="B561" s="4" t="s">
        <v>705</v>
      </c>
      <c r="C561">
        <v>32</v>
      </c>
      <c r="D561" t="s">
        <v>71</v>
      </c>
      <c r="E561" s="7">
        <v>37</v>
      </c>
      <c r="F561">
        <v>1850</v>
      </c>
      <c r="G561">
        <v>4</v>
      </c>
      <c r="H561">
        <v>4</v>
      </c>
      <c r="I561" t="s">
        <v>72</v>
      </c>
      <c r="J561">
        <v>1</v>
      </c>
      <c r="K561">
        <v>216</v>
      </c>
    </row>
    <row r="562" spans="1:11" x14ac:dyDescent="0.35">
      <c r="A562" t="s">
        <v>708</v>
      </c>
      <c r="B562" s="4" t="s">
        <v>709</v>
      </c>
      <c r="C562">
        <v>4</v>
      </c>
      <c r="D562" t="s">
        <v>71</v>
      </c>
      <c r="E562" s="7">
        <v>28</v>
      </c>
      <c r="F562">
        <v>1400</v>
      </c>
      <c r="G562">
        <v>4</v>
      </c>
      <c r="H562">
        <v>3</v>
      </c>
      <c r="I562" t="s">
        <v>72</v>
      </c>
      <c r="J562">
        <v>1</v>
      </c>
      <c r="K562">
        <v>28</v>
      </c>
    </row>
    <row r="563" spans="1:11" x14ac:dyDescent="0.35">
      <c r="A563" t="s">
        <v>710</v>
      </c>
      <c r="B563" s="4" t="s">
        <v>709</v>
      </c>
      <c r="C563">
        <v>12</v>
      </c>
      <c r="D563" t="s">
        <v>71</v>
      </c>
      <c r="E563" s="7">
        <v>48</v>
      </c>
      <c r="F563">
        <v>2400</v>
      </c>
      <c r="G563">
        <v>4</v>
      </c>
      <c r="H563">
        <v>3</v>
      </c>
      <c r="I563" t="s">
        <v>72</v>
      </c>
      <c r="J563">
        <v>1</v>
      </c>
      <c r="K563">
        <v>49</v>
      </c>
    </row>
    <row r="564" spans="1:11" x14ac:dyDescent="0.35">
      <c r="A564" t="s">
        <v>711</v>
      </c>
      <c r="B564" s="4" t="s">
        <v>709</v>
      </c>
      <c r="C564">
        <v>13</v>
      </c>
      <c r="D564" t="s">
        <v>71</v>
      </c>
      <c r="E564" s="7">
        <v>47</v>
      </c>
      <c r="F564">
        <v>2350</v>
      </c>
      <c r="G564">
        <v>4</v>
      </c>
      <c r="H564">
        <v>2</v>
      </c>
      <c r="I564" t="s">
        <v>72</v>
      </c>
      <c r="J564">
        <v>1</v>
      </c>
      <c r="K564">
        <v>285</v>
      </c>
    </row>
    <row r="565" spans="1:11" x14ac:dyDescent="0.35">
      <c r="A565" t="s">
        <v>712</v>
      </c>
      <c r="B565" s="4" t="s">
        <v>709</v>
      </c>
      <c r="C565">
        <v>4</v>
      </c>
      <c r="D565" t="s">
        <v>45</v>
      </c>
      <c r="E565" s="7">
        <v>-5</v>
      </c>
      <c r="F565">
        <v>-250</v>
      </c>
      <c r="G565">
        <v>1</v>
      </c>
      <c r="I565" t="s">
        <v>46</v>
      </c>
      <c r="J565">
        <v>1</v>
      </c>
      <c r="K565">
        <v>23</v>
      </c>
    </row>
    <row r="566" spans="1:11" x14ac:dyDescent="0.35">
      <c r="A566" t="s">
        <v>713</v>
      </c>
      <c r="B566" s="4" t="s">
        <v>709</v>
      </c>
      <c r="C566">
        <v>4</v>
      </c>
      <c r="D566" t="s">
        <v>45</v>
      </c>
      <c r="E566" s="7">
        <v>-2</v>
      </c>
      <c r="F566">
        <v>-100</v>
      </c>
      <c r="G566">
        <v>2</v>
      </c>
      <c r="I566" t="s">
        <v>46</v>
      </c>
      <c r="J566">
        <v>1</v>
      </c>
      <c r="K566">
        <v>21</v>
      </c>
    </row>
    <row r="567" spans="1:11" x14ac:dyDescent="0.35">
      <c r="A567" t="s">
        <v>714</v>
      </c>
      <c r="B567" s="4" t="s">
        <v>709</v>
      </c>
      <c r="C567">
        <v>12</v>
      </c>
      <c r="D567" t="s">
        <v>45</v>
      </c>
      <c r="E567" s="7">
        <v>-7</v>
      </c>
      <c r="F567">
        <v>-350</v>
      </c>
      <c r="G567">
        <v>2</v>
      </c>
      <c r="I567" t="s">
        <v>46</v>
      </c>
      <c r="J567">
        <v>1</v>
      </c>
      <c r="K567">
        <v>42</v>
      </c>
    </row>
    <row r="568" spans="1:11" x14ac:dyDescent="0.35">
      <c r="A568" t="s">
        <v>715</v>
      </c>
      <c r="B568" s="4" t="s">
        <v>716</v>
      </c>
      <c r="C568">
        <v>4</v>
      </c>
      <c r="D568" t="s">
        <v>45</v>
      </c>
      <c r="E568" s="7">
        <v>-4</v>
      </c>
      <c r="F568">
        <v>-200</v>
      </c>
      <c r="G568">
        <v>1</v>
      </c>
      <c r="I568" t="s">
        <v>46</v>
      </c>
      <c r="J568">
        <v>1</v>
      </c>
      <c r="K568">
        <v>17</v>
      </c>
    </row>
    <row r="569" spans="1:11" x14ac:dyDescent="0.35">
      <c r="A569" t="s">
        <v>717</v>
      </c>
      <c r="B569" s="4" t="s">
        <v>716</v>
      </c>
      <c r="C569">
        <v>12</v>
      </c>
      <c r="D569" t="s">
        <v>45</v>
      </c>
      <c r="E569" s="7">
        <v>-4</v>
      </c>
      <c r="F569">
        <v>-200</v>
      </c>
      <c r="G569">
        <v>1</v>
      </c>
      <c r="I569" t="s">
        <v>46</v>
      </c>
      <c r="J569">
        <v>1</v>
      </c>
      <c r="K569">
        <v>38</v>
      </c>
    </row>
    <row r="570" spans="1:11" x14ac:dyDescent="0.35">
      <c r="A570" t="s">
        <v>718</v>
      </c>
      <c r="B570" s="4" t="s">
        <v>716</v>
      </c>
      <c r="C570">
        <v>4</v>
      </c>
      <c r="D570" t="s">
        <v>45</v>
      </c>
      <c r="E570" s="7">
        <v>-2</v>
      </c>
      <c r="F570">
        <v>-100</v>
      </c>
      <c r="G570">
        <v>3</v>
      </c>
      <c r="I570" t="s">
        <v>46</v>
      </c>
      <c r="J570">
        <v>1</v>
      </c>
      <c r="K570">
        <v>15</v>
      </c>
    </row>
    <row r="571" spans="1:11" x14ac:dyDescent="0.35">
      <c r="A571" t="s">
        <v>719</v>
      </c>
      <c r="B571" s="4" t="s">
        <v>716</v>
      </c>
      <c r="C571">
        <v>12</v>
      </c>
      <c r="D571" t="s">
        <v>45</v>
      </c>
      <c r="E571" s="7">
        <v>-6</v>
      </c>
      <c r="F571">
        <v>-300</v>
      </c>
      <c r="G571">
        <v>3</v>
      </c>
      <c r="I571" t="s">
        <v>46</v>
      </c>
      <c r="J571">
        <v>1</v>
      </c>
      <c r="K571">
        <v>32</v>
      </c>
    </row>
    <row r="572" spans="1:11" x14ac:dyDescent="0.35">
      <c r="A572" t="s">
        <v>720</v>
      </c>
      <c r="B572" s="4" t="s">
        <v>721</v>
      </c>
      <c r="C572">
        <v>4</v>
      </c>
      <c r="D572" t="s">
        <v>45</v>
      </c>
      <c r="E572" s="7">
        <v>-5</v>
      </c>
      <c r="F572">
        <v>-250</v>
      </c>
      <c r="G572">
        <v>1</v>
      </c>
      <c r="I572" t="s">
        <v>46</v>
      </c>
      <c r="J572">
        <v>1</v>
      </c>
      <c r="K572">
        <v>10</v>
      </c>
    </row>
    <row r="573" spans="1:11" x14ac:dyDescent="0.35">
      <c r="A573" t="s">
        <v>722</v>
      </c>
      <c r="B573" s="4" t="s">
        <v>721</v>
      </c>
      <c r="C573">
        <v>12</v>
      </c>
      <c r="D573" t="s">
        <v>45</v>
      </c>
      <c r="E573" s="7">
        <v>-4</v>
      </c>
      <c r="F573">
        <v>-200</v>
      </c>
      <c r="G573">
        <v>1</v>
      </c>
      <c r="I573" t="s">
        <v>46</v>
      </c>
      <c r="J573">
        <v>1</v>
      </c>
      <c r="K573">
        <v>28</v>
      </c>
    </row>
    <row r="574" spans="1:11" x14ac:dyDescent="0.35">
      <c r="A574" t="s">
        <v>723</v>
      </c>
      <c r="B574" s="4" t="s">
        <v>721</v>
      </c>
      <c r="C574">
        <v>12</v>
      </c>
      <c r="D574" t="s">
        <v>45</v>
      </c>
      <c r="E574" s="7">
        <v>-4</v>
      </c>
      <c r="F574">
        <v>-200</v>
      </c>
      <c r="G574">
        <v>2</v>
      </c>
      <c r="I574" t="s">
        <v>46</v>
      </c>
      <c r="J574">
        <v>1</v>
      </c>
      <c r="K574">
        <v>24</v>
      </c>
    </row>
    <row r="575" spans="1:11" x14ac:dyDescent="0.35">
      <c r="A575" t="s">
        <v>724</v>
      </c>
      <c r="B575" s="4" t="s">
        <v>725</v>
      </c>
      <c r="C575">
        <v>4</v>
      </c>
      <c r="D575" t="s">
        <v>45</v>
      </c>
      <c r="E575" s="7">
        <v>-5</v>
      </c>
      <c r="F575">
        <v>-250</v>
      </c>
      <c r="G575">
        <v>1</v>
      </c>
      <c r="I575" t="s">
        <v>46</v>
      </c>
      <c r="J575">
        <v>1</v>
      </c>
      <c r="K575">
        <v>5</v>
      </c>
    </row>
    <row r="576" spans="1:11" x14ac:dyDescent="0.35">
      <c r="A576" t="s">
        <v>726</v>
      </c>
      <c r="B576" s="4" t="s">
        <v>725</v>
      </c>
      <c r="C576">
        <v>12</v>
      </c>
      <c r="D576" t="s">
        <v>45</v>
      </c>
      <c r="E576" s="7">
        <v>-3</v>
      </c>
      <c r="F576">
        <v>-150</v>
      </c>
      <c r="G576">
        <v>1</v>
      </c>
      <c r="I576" t="s">
        <v>46</v>
      </c>
      <c r="J576">
        <v>1</v>
      </c>
      <c r="K576">
        <v>21</v>
      </c>
    </row>
    <row r="577" spans="1:11" x14ac:dyDescent="0.35">
      <c r="A577" t="s">
        <v>727</v>
      </c>
      <c r="B577" s="4" t="s">
        <v>725</v>
      </c>
      <c r="C577">
        <v>12</v>
      </c>
      <c r="D577" t="s">
        <v>45</v>
      </c>
      <c r="E577" s="7">
        <v>-7</v>
      </c>
      <c r="F577">
        <v>-350</v>
      </c>
      <c r="G577">
        <v>2</v>
      </c>
      <c r="I577" t="s">
        <v>46</v>
      </c>
      <c r="J577">
        <v>1</v>
      </c>
      <c r="K577">
        <v>14</v>
      </c>
    </row>
    <row r="578" spans="1:11" x14ac:dyDescent="0.35">
      <c r="A578" t="s">
        <v>728</v>
      </c>
      <c r="B578" s="4" t="s">
        <v>725</v>
      </c>
      <c r="C578">
        <v>4</v>
      </c>
      <c r="D578" t="s">
        <v>45</v>
      </c>
      <c r="E578" s="7">
        <v>-5</v>
      </c>
      <c r="F578">
        <v>-250</v>
      </c>
      <c r="G578">
        <v>3</v>
      </c>
      <c r="I578" t="s">
        <v>46</v>
      </c>
      <c r="J578">
        <v>1</v>
      </c>
      <c r="K578">
        <v>0</v>
      </c>
    </row>
    <row r="579" spans="1:11" x14ac:dyDescent="0.35">
      <c r="A579" t="s">
        <v>729</v>
      </c>
      <c r="B579" s="4" t="s">
        <v>730</v>
      </c>
      <c r="C579">
        <v>12</v>
      </c>
      <c r="D579" t="s">
        <v>45</v>
      </c>
      <c r="E579" s="7">
        <v>-4</v>
      </c>
      <c r="F579">
        <v>-200</v>
      </c>
      <c r="G579">
        <v>2</v>
      </c>
      <c r="I579" t="s">
        <v>46</v>
      </c>
      <c r="J579">
        <v>1</v>
      </c>
      <c r="K579">
        <v>10</v>
      </c>
    </row>
    <row r="580" spans="1:11" x14ac:dyDescent="0.35">
      <c r="A580" t="s">
        <v>731</v>
      </c>
      <c r="B580" s="4" t="s">
        <v>730</v>
      </c>
      <c r="C580">
        <v>12</v>
      </c>
      <c r="D580" t="s">
        <v>45</v>
      </c>
      <c r="E580" s="7">
        <v>-2</v>
      </c>
      <c r="F580">
        <v>-100</v>
      </c>
      <c r="G580">
        <v>3</v>
      </c>
      <c r="I580" t="s">
        <v>46</v>
      </c>
      <c r="J580">
        <v>1</v>
      </c>
      <c r="K580">
        <v>8</v>
      </c>
    </row>
    <row r="581" spans="1:11" x14ac:dyDescent="0.35">
      <c r="A581" t="s">
        <v>732</v>
      </c>
      <c r="B581" s="4" t="s">
        <v>733</v>
      </c>
      <c r="C581">
        <v>12</v>
      </c>
      <c r="D581" t="s">
        <v>45</v>
      </c>
      <c r="E581" s="7">
        <v>-2</v>
      </c>
      <c r="F581">
        <v>-100</v>
      </c>
      <c r="G581">
        <v>1</v>
      </c>
      <c r="I581" t="s">
        <v>46</v>
      </c>
      <c r="J581">
        <v>1</v>
      </c>
      <c r="K581">
        <v>6</v>
      </c>
    </row>
    <row r="582" spans="1:11" x14ac:dyDescent="0.35">
      <c r="A582" t="s">
        <v>734</v>
      </c>
      <c r="B582" s="4" t="s">
        <v>733</v>
      </c>
      <c r="C582">
        <v>12</v>
      </c>
      <c r="D582" t="s">
        <v>45</v>
      </c>
      <c r="E582" s="7">
        <v>-2</v>
      </c>
      <c r="F582">
        <v>-100</v>
      </c>
      <c r="G582">
        <v>3</v>
      </c>
      <c r="I582" t="s">
        <v>46</v>
      </c>
      <c r="J582">
        <v>1</v>
      </c>
      <c r="K582">
        <v>4</v>
      </c>
    </row>
    <row r="583" spans="1:11" x14ac:dyDescent="0.35">
      <c r="A583" t="s">
        <v>735</v>
      </c>
      <c r="B583" s="4" t="s">
        <v>736</v>
      </c>
      <c r="C583">
        <v>12</v>
      </c>
      <c r="D583" t="s">
        <v>45</v>
      </c>
      <c r="E583" s="7">
        <v>-3</v>
      </c>
      <c r="F583">
        <v>-150</v>
      </c>
      <c r="G583">
        <v>2</v>
      </c>
      <c r="I583" t="s">
        <v>46</v>
      </c>
      <c r="J583">
        <v>1</v>
      </c>
      <c r="K583">
        <v>1</v>
      </c>
    </row>
    <row r="584" spans="1:11" x14ac:dyDescent="0.35">
      <c r="A584" t="s">
        <v>737</v>
      </c>
      <c r="B584" s="4" t="s">
        <v>738</v>
      </c>
      <c r="C584">
        <v>12</v>
      </c>
      <c r="D584" t="s">
        <v>71</v>
      </c>
      <c r="E584" s="7">
        <v>41</v>
      </c>
      <c r="F584">
        <v>2050</v>
      </c>
      <c r="G584">
        <v>4</v>
      </c>
      <c r="H584">
        <v>3</v>
      </c>
      <c r="I584" t="s">
        <v>72</v>
      </c>
      <c r="J584">
        <v>1</v>
      </c>
      <c r="K584">
        <v>42</v>
      </c>
    </row>
    <row r="585" spans="1:11" x14ac:dyDescent="0.35">
      <c r="A585" t="s">
        <v>739</v>
      </c>
      <c r="B585" s="4" t="s">
        <v>738</v>
      </c>
      <c r="C585">
        <v>17</v>
      </c>
      <c r="D585" t="s">
        <v>71</v>
      </c>
      <c r="E585" s="7">
        <v>47</v>
      </c>
      <c r="F585">
        <v>2350</v>
      </c>
      <c r="G585">
        <v>4</v>
      </c>
      <c r="H585">
        <v>2</v>
      </c>
      <c r="I585" t="s">
        <v>72</v>
      </c>
      <c r="J585">
        <v>1</v>
      </c>
      <c r="K585">
        <v>147</v>
      </c>
    </row>
    <row r="586" spans="1:11" x14ac:dyDescent="0.35">
      <c r="A586" t="s">
        <v>740</v>
      </c>
      <c r="B586" s="4" t="s">
        <v>738</v>
      </c>
      <c r="C586">
        <v>2</v>
      </c>
      <c r="D586" t="s">
        <v>71</v>
      </c>
      <c r="E586" s="7">
        <v>67</v>
      </c>
      <c r="F586">
        <v>3350</v>
      </c>
      <c r="G586">
        <v>4</v>
      </c>
      <c r="H586">
        <v>1</v>
      </c>
      <c r="I586" t="s">
        <v>72</v>
      </c>
      <c r="J586">
        <v>1</v>
      </c>
      <c r="K586">
        <v>152</v>
      </c>
    </row>
    <row r="587" spans="1:11" x14ac:dyDescent="0.35">
      <c r="A587" t="s">
        <v>741</v>
      </c>
      <c r="B587" s="4" t="s">
        <v>738</v>
      </c>
      <c r="C587">
        <v>35</v>
      </c>
      <c r="D587" t="s">
        <v>71</v>
      </c>
      <c r="E587" s="7">
        <v>23</v>
      </c>
      <c r="F587">
        <v>1150</v>
      </c>
      <c r="G587">
        <v>4</v>
      </c>
      <c r="H587">
        <v>3</v>
      </c>
      <c r="I587" t="s">
        <v>72</v>
      </c>
      <c r="J587">
        <v>1</v>
      </c>
      <c r="K587">
        <v>170</v>
      </c>
    </row>
    <row r="588" spans="1:11" x14ac:dyDescent="0.35">
      <c r="A588" t="s">
        <v>742</v>
      </c>
      <c r="B588" s="4" t="s">
        <v>738</v>
      </c>
      <c r="C588">
        <v>12</v>
      </c>
      <c r="D588" t="s">
        <v>45</v>
      </c>
      <c r="E588" s="7">
        <v>-6</v>
      </c>
      <c r="F588">
        <v>-300</v>
      </c>
      <c r="G588">
        <v>1</v>
      </c>
      <c r="I588" t="s">
        <v>46</v>
      </c>
      <c r="J588">
        <v>1</v>
      </c>
      <c r="K588">
        <v>36</v>
      </c>
    </row>
    <row r="589" spans="1:11" x14ac:dyDescent="0.35">
      <c r="A589" t="s">
        <v>743</v>
      </c>
      <c r="B589" s="4" t="s">
        <v>738</v>
      </c>
      <c r="C589">
        <v>12</v>
      </c>
      <c r="D589" t="s">
        <v>45</v>
      </c>
      <c r="E589" s="7">
        <v>-3</v>
      </c>
      <c r="F589">
        <v>-150</v>
      </c>
      <c r="G589">
        <v>2</v>
      </c>
      <c r="I589" t="s">
        <v>46</v>
      </c>
      <c r="J589">
        <v>1</v>
      </c>
      <c r="K589">
        <v>33</v>
      </c>
    </row>
    <row r="590" spans="1:11" x14ac:dyDescent="0.35">
      <c r="A590" t="s">
        <v>744</v>
      </c>
      <c r="B590" s="4" t="s">
        <v>738</v>
      </c>
      <c r="C590">
        <v>12</v>
      </c>
      <c r="D590" t="s">
        <v>45</v>
      </c>
      <c r="E590" s="7">
        <v>-6</v>
      </c>
      <c r="F590">
        <v>-300</v>
      </c>
      <c r="G590">
        <v>3</v>
      </c>
      <c r="I590" t="s">
        <v>46</v>
      </c>
      <c r="J590">
        <v>1</v>
      </c>
      <c r="K590">
        <v>27</v>
      </c>
    </row>
    <row r="591" spans="1:11" x14ac:dyDescent="0.35">
      <c r="A591" t="s">
        <v>745</v>
      </c>
      <c r="B591" s="4" t="s">
        <v>746</v>
      </c>
      <c r="C591">
        <v>12</v>
      </c>
      <c r="D591" t="s">
        <v>45</v>
      </c>
      <c r="E591" s="7">
        <v>-5</v>
      </c>
      <c r="F591">
        <v>-250</v>
      </c>
      <c r="G591">
        <v>1</v>
      </c>
      <c r="I591" t="s">
        <v>46</v>
      </c>
      <c r="J591">
        <v>1</v>
      </c>
      <c r="K591">
        <v>22</v>
      </c>
    </row>
    <row r="592" spans="1:11" x14ac:dyDescent="0.35">
      <c r="A592" t="s">
        <v>747</v>
      </c>
      <c r="B592" s="4" t="s">
        <v>746</v>
      </c>
      <c r="C592">
        <v>12</v>
      </c>
      <c r="D592" t="s">
        <v>45</v>
      </c>
      <c r="E592" s="7">
        <v>-2</v>
      </c>
      <c r="F592">
        <v>-100</v>
      </c>
      <c r="G592">
        <v>2</v>
      </c>
      <c r="I592" t="s">
        <v>46</v>
      </c>
      <c r="J592">
        <v>1</v>
      </c>
      <c r="K592">
        <v>20</v>
      </c>
    </row>
    <row r="593" spans="1:11" x14ac:dyDescent="0.35">
      <c r="A593" t="s">
        <v>748</v>
      </c>
      <c r="B593" s="4" t="s">
        <v>749</v>
      </c>
      <c r="C593">
        <v>12</v>
      </c>
      <c r="D593" t="s">
        <v>45</v>
      </c>
      <c r="E593" s="7">
        <v>-2</v>
      </c>
      <c r="F593">
        <v>-100</v>
      </c>
      <c r="G593">
        <v>1</v>
      </c>
      <c r="I593" t="s">
        <v>46</v>
      </c>
      <c r="J593">
        <v>1</v>
      </c>
      <c r="K593">
        <v>18</v>
      </c>
    </row>
    <row r="594" spans="1:11" x14ac:dyDescent="0.35">
      <c r="A594" t="s">
        <v>750</v>
      </c>
      <c r="B594" s="4" t="s">
        <v>749</v>
      </c>
      <c r="C594">
        <v>12</v>
      </c>
      <c r="D594" t="s">
        <v>45</v>
      </c>
      <c r="E594" s="7">
        <v>-5</v>
      </c>
      <c r="F594">
        <v>-250</v>
      </c>
      <c r="G594">
        <v>2</v>
      </c>
      <c r="I594" t="s">
        <v>46</v>
      </c>
      <c r="J594">
        <v>1</v>
      </c>
      <c r="K594">
        <v>13</v>
      </c>
    </row>
    <row r="595" spans="1:11" x14ac:dyDescent="0.35">
      <c r="A595" t="s">
        <v>751</v>
      </c>
      <c r="B595" s="4" t="s">
        <v>749</v>
      </c>
      <c r="C595">
        <v>12</v>
      </c>
      <c r="D595" t="s">
        <v>45</v>
      </c>
      <c r="E595" s="7">
        <v>-5</v>
      </c>
      <c r="F595">
        <v>-250</v>
      </c>
      <c r="G595">
        <v>3</v>
      </c>
      <c r="I595" t="s">
        <v>46</v>
      </c>
      <c r="J595">
        <v>1</v>
      </c>
      <c r="K595">
        <v>8</v>
      </c>
    </row>
    <row r="596" spans="1:11" x14ac:dyDescent="0.35">
      <c r="A596" t="s">
        <v>752</v>
      </c>
      <c r="B596" s="4" t="s">
        <v>753</v>
      </c>
      <c r="C596">
        <v>4</v>
      </c>
      <c r="D596" t="s">
        <v>71</v>
      </c>
      <c r="E596" s="7">
        <v>31</v>
      </c>
      <c r="F596">
        <v>1550</v>
      </c>
      <c r="G596">
        <v>4</v>
      </c>
      <c r="H596">
        <v>3</v>
      </c>
      <c r="I596" t="s">
        <v>72</v>
      </c>
      <c r="J596">
        <v>1</v>
      </c>
      <c r="K596">
        <v>31</v>
      </c>
    </row>
    <row r="597" spans="1:11" x14ac:dyDescent="0.35">
      <c r="A597" t="s">
        <v>754</v>
      </c>
      <c r="B597" s="4" t="s">
        <v>753</v>
      </c>
      <c r="C597">
        <v>23</v>
      </c>
      <c r="D597" t="s">
        <v>71</v>
      </c>
      <c r="E597" s="7">
        <v>47</v>
      </c>
      <c r="F597">
        <v>2350</v>
      </c>
      <c r="G597">
        <v>4</v>
      </c>
      <c r="H597">
        <v>2</v>
      </c>
      <c r="I597" t="s">
        <v>72</v>
      </c>
      <c r="J597">
        <v>1</v>
      </c>
      <c r="K597">
        <v>271</v>
      </c>
    </row>
    <row r="598" spans="1:11" x14ac:dyDescent="0.35">
      <c r="A598" t="s">
        <v>755</v>
      </c>
      <c r="B598" s="4" t="s">
        <v>753</v>
      </c>
      <c r="C598">
        <v>4</v>
      </c>
      <c r="D598" t="s">
        <v>45</v>
      </c>
      <c r="E598" s="7">
        <v>-3</v>
      </c>
      <c r="F598">
        <v>-150</v>
      </c>
      <c r="G598">
        <v>1</v>
      </c>
      <c r="I598" t="s">
        <v>46</v>
      </c>
      <c r="J598">
        <v>1</v>
      </c>
      <c r="K598">
        <v>28</v>
      </c>
    </row>
    <row r="599" spans="1:11" x14ac:dyDescent="0.35">
      <c r="A599" t="s">
        <v>756</v>
      </c>
      <c r="B599" s="4" t="s">
        <v>753</v>
      </c>
      <c r="C599">
        <v>4</v>
      </c>
      <c r="D599" t="s">
        <v>45</v>
      </c>
      <c r="E599" s="7">
        <v>-2</v>
      </c>
      <c r="F599">
        <v>-100</v>
      </c>
      <c r="G599">
        <v>2</v>
      </c>
      <c r="I599" t="s">
        <v>46</v>
      </c>
      <c r="J599">
        <v>1</v>
      </c>
      <c r="K599">
        <v>26</v>
      </c>
    </row>
    <row r="600" spans="1:11" x14ac:dyDescent="0.35">
      <c r="A600" t="s">
        <v>757</v>
      </c>
      <c r="B600" s="4" t="s">
        <v>753</v>
      </c>
      <c r="C600">
        <v>12</v>
      </c>
      <c r="D600" t="s">
        <v>45</v>
      </c>
      <c r="E600" s="7">
        <v>-6</v>
      </c>
      <c r="F600">
        <v>-300</v>
      </c>
      <c r="G600">
        <v>2</v>
      </c>
      <c r="I600" t="s">
        <v>46</v>
      </c>
      <c r="J600">
        <v>1</v>
      </c>
      <c r="K600">
        <v>2</v>
      </c>
    </row>
    <row r="601" spans="1:11" x14ac:dyDescent="0.35">
      <c r="A601" t="s">
        <v>758</v>
      </c>
      <c r="B601" s="4" t="s">
        <v>753</v>
      </c>
      <c r="C601">
        <v>4</v>
      </c>
      <c r="D601" t="s">
        <v>45</v>
      </c>
      <c r="E601" s="7">
        <v>-6</v>
      </c>
      <c r="F601">
        <v>-300</v>
      </c>
      <c r="G601">
        <v>3</v>
      </c>
      <c r="I601" t="s">
        <v>46</v>
      </c>
      <c r="J601">
        <v>1</v>
      </c>
      <c r="K601">
        <v>20</v>
      </c>
    </row>
    <row r="602" spans="1:11" x14ac:dyDescent="0.35">
      <c r="A602" t="s">
        <v>759</v>
      </c>
      <c r="B602" s="4" t="s">
        <v>760</v>
      </c>
      <c r="C602">
        <v>4</v>
      </c>
      <c r="D602" t="s">
        <v>45</v>
      </c>
      <c r="E602" s="7">
        <v>-5</v>
      </c>
      <c r="F602">
        <v>-250</v>
      </c>
      <c r="G602">
        <v>1</v>
      </c>
      <c r="I602" t="s">
        <v>46</v>
      </c>
      <c r="J602">
        <v>1</v>
      </c>
      <c r="K602">
        <v>15</v>
      </c>
    </row>
    <row r="603" spans="1:11" x14ac:dyDescent="0.35">
      <c r="A603" t="s">
        <v>761</v>
      </c>
      <c r="B603" s="4" t="s">
        <v>760</v>
      </c>
      <c r="C603">
        <v>4</v>
      </c>
      <c r="D603" t="s">
        <v>45</v>
      </c>
      <c r="E603" s="7">
        <v>-6</v>
      </c>
      <c r="F603">
        <v>-300</v>
      </c>
      <c r="G603">
        <v>2</v>
      </c>
      <c r="I603" t="s">
        <v>46</v>
      </c>
      <c r="J603">
        <v>1</v>
      </c>
      <c r="K603">
        <v>9</v>
      </c>
    </row>
    <row r="604" spans="1:11" x14ac:dyDescent="0.35">
      <c r="A604" t="s">
        <v>762</v>
      </c>
      <c r="B604" s="4" t="s">
        <v>760</v>
      </c>
      <c r="C604">
        <v>4</v>
      </c>
      <c r="D604" t="s">
        <v>45</v>
      </c>
      <c r="E604" s="7">
        <v>-4</v>
      </c>
      <c r="F604">
        <v>-200</v>
      </c>
      <c r="G604">
        <v>3</v>
      </c>
      <c r="I604" t="s">
        <v>46</v>
      </c>
      <c r="J604">
        <v>1</v>
      </c>
      <c r="K604">
        <v>5</v>
      </c>
    </row>
    <row r="605" spans="1:11" x14ac:dyDescent="0.35">
      <c r="A605" t="s">
        <v>763</v>
      </c>
      <c r="B605" s="4" t="s">
        <v>764</v>
      </c>
      <c r="C605">
        <v>4</v>
      </c>
      <c r="D605" t="s">
        <v>45</v>
      </c>
      <c r="E605" s="7">
        <v>-4</v>
      </c>
      <c r="F605">
        <v>-200</v>
      </c>
      <c r="G605">
        <v>3</v>
      </c>
      <c r="I605" t="s">
        <v>46</v>
      </c>
      <c r="J605">
        <v>1</v>
      </c>
      <c r="K605">
        <v>1</v>
      </c>
    </row>
    <row r="606" spans="1:11" x14ac:dyDescent="0.35">
      <c r="A606" t="s">
        <v>765</v>
      </c>
      <c r="B606" s="4" t="s">
        <v>766</v>
      </c>
      <c r="C606">
        <v>12</v>
      </c>
      <c r="D606" t="s">
        <v>45</v>
      </c>
      <c r="E606" s="7">
        <v>-2</v>
      </c>
      <c r="F606">
        <v>-100</v>
      </c>
      <c r="G606">
        <v>1</v>
      </c>
      <c r="I606" t="s">
        <v>46</v>
      </c>
      <c r="J606">
        <v>1</v>
      </c>
      <c r="K606">
        <v>0</v>
      </c>
    </row>
    <row r="607" spans="1:11" x14ac:dyDescent="0.35">
      <c r="A607" t="s">
        <v>767</v>
      </c>
      <c r="B607" s="4" t="s">
        <v>768</v>
      </c>
      <c r="C607">
        <v>32</v>
      </c>
      <c r="D607" t="s">
        <v>71</v>
      </c>
      <c r="E607" s="7">
        <v>48</v>
      </c>
      <c r="F607">
        <v>2400</v>
      </c>
      <c r="G607">
        <v>4</v>
      </c>
      <c r="H607">
        <v>4</v>
      </c>
      <c r="I607" t="s">
        <v>72</v>
      </c>
      <c r="J607">
        <v>1</v>
      </c>
      <c r="K607">
        <v>264</v>
      </c>
    </row>
    <row r="608" spans="1:11" x14ac:dyDescent="0.35">
      <c r="A608" t="s">
        <v>769</v>
      </c>
      <c r="B608" s="4" t="s">
        <v>768</v>
      </c>
      <c r="C608">
        <v>9</v>
      </c>
      <c r="D608" t="s">
        <v>71</v>
      </c>
      <c r="E608" s="7">
        <v>41</v>
      </c>
      <c r="F608">
        <v>2050</v>
      </c>
      <c r="G608">
        <v>4</v>
      </c>
      <c r="H608">
        <v>3</v>
      </c>
      <c r="I608" t="s">
        <v>72</v>
      </c>
      <c r="J608">
        <v>1</v>
      </c>
      <c r="K608">
        <v>42</v>
      </c>
    </row>
    <row r="609" spans="1:11" x14ac:dyDescent="0.35">
      <c r="A609" t="s">
        <v>770</v>
      </c>
      <c r="B609" s="4" t="s">
        <v>768</v>
      </c>
      <c r="C609">
        <v>15</v>
      </c>
      <c r="D609" t="s">
        <v>71</v>
      </c>
      <c r="E609" s="7">
        <v>40</v>
      </c>
      <c r="F609">
        <v>2000</v>
      </c>
      <c r="G609">
        <v>4</v>
      </c>
      <c r="H609">
        <v>1</v>
      </c>
      <c r="I609" t="s">
        <v>72</v>
      </c>
      <c r="J609">
        <v>1</v>
      </c>
      <c r="K609">
        <v>280</v>
      </c>
    </row>
    <row r="610" spans="1:11" x14ac:dyDescent="0.35">
      <c r="A610" t="s">
        <v>771</v>
      </c>
      <c r="B610" s="4" t="s">
        <v>768</v>
      </c>
      <c r="C610">
        <v>9</v>
      </c>
      <c r="D610" t="s">
        <v>45</v>
      </c>
      <c r="E610" s="7">
        <v>-2</v>
      </c>
      <c r="F610">
        <v>-100</v>
      </c>
      <c r="G610">
        <v>1</v>
      </c>
      <c r="I610" t="s">
        <v>46</v>
      </c>
      <c r="J610">
        <v>1</v>
      </c>
      <c r="K610">
        <v>40</v>
      </c>
    </row>
    <row r="611" spans="1:11" x14ac:dyDescent="0.35">
      <c r="A611" t="s">
        <v>772</v>
      </c>
      <c r="B611" s="4" t="s">
        <v>768</v>
      </c>
      <c r="C611">
        <v>9</v>
      </c>
      <c r="D611" t="s">
        <v>45</v>
      </c>
      <c r="E611" s="7">
        <v>-4</v>
      </c>
      <c r="F611">
        <v>-200</v>
      </c>
      <c r="G611">
        <v>2</v>
      </c>
      <c r="I611" t="s">
        <v>46</v>
      </c>
      <c r="J611">
        <v>1</v>
      </c>
      <c r="K611">
        <v>36</v>
      </c>
    </row>
    <row r="612" spans="1:11" x14ac:dyDescent="0.35">
      <c r="A612" t="s">
        <v>773</v>
      </c>
      <c r="B612" s="4" t="s">
        <v>768</v>
      </c>
      <c r="C612">
        <v>9</v>
      </c>
      <c r="D612" t="s">
        <v>45</v>
      </c>
      <c r="E612" s="7">
        <v>-2</v>
      </c>
      <c r="F612">
        <v>-100</v>
      </c>
      <c r="G612">
        <v>3</v>
      </c>
      <c r="I612" t="s">
        <v>46</v>
      </c>
      <c r="J612">
        <v>1</v>
      </c>
      <c r="K612">
        <v>34</v>
      </c>
    </row>
    <row r="613" spans="1:11" x14ac:dyDescent="0.35">
      <c r="A613" t="s">
        <v>774</v>
      </c>
      <c r="B613" s="4" t="s">
        <v>775</v>
      </c>
      <c r="C613">
        <v>3</v>
      </c>
      <c r="D613" t="s">
        <v>71</v>
      </c>
      <c r="E613" s="7">
        <v>59</v>
      </c>
      <c r="F613">
        <v>2950</v>
      </c>
      <c r="G613">
        <v>4</v>
      </c>
      <c r="H613">
        <v>2</v>
      </c>
      <c r="I613" t="s">
        <v>72</v>
      </c>
      <c r="J613">
        <v>1</v>
      </c>
      <c r="K613">
        <v>326</v>
      </c>
    </row>
    <row r="614" spans="1:11" x14ac:dyDescent="0.35">
      <c r="A614" t="s">
        <v>776</v>
      </c>
      <c r="B614" s="4" t="s">
        <v>775</v>
      </c>
      <c r="C614">
        <v>29</v>
      </c>
      <c r="D614" t="s">
        <v>71</v>
      </c>
      <c r="E614" s="7">
        <v>28</v>
      </c>
      <c r="F614">
        <v>1400</v>
      </c>
      <c r="G614">
        <v>4</v>
      </c>
      <c r="H614">
        <v>4</v>
      </c>
      <c r="I614" t="s">
        <v>72</v>
      </c>
      <c r="J614">
        <v>1</v>
      </c>
      <c r="K614">
        <v>192</v>
      </c>
    </row>
    <row r="615" spans="1:11" x14ac:dyDescent="0.35">
      <c r="A615" t="s">
        <v>777</v>
      </c>
      <c r="B615" s="4" t="s">
        <v>775</v>
      </c>
      <c r="C615">
        <v>23</v>
      </c>
      <c r="D615" t="s">
        <v>71</v>
      </c>
      <c r="E615" s="7">
        <v>20</v>
      </c>
      <c r="F615">
        <v>1000</v>
      </c>
      <c r="G615">
        <v>4</v>
      </c>
      <c r="H615">
        <v>2</v>
      </c>
      <c r="I615" t="s">
        <v>72</v>
      </c>
      <c r="J615">
        <v>1</v>
      </c>
      <c r="K615">
        <v>291</v>
      </c>
    </row>
    <row r="616" spans="1:11" x14ac:dyDescent="0.35">
      <c r="A616" t="s">
        <v>778</v>
      </c>
      <c r="B616" s="4" t="s">
        <v>775</v>
      </c>
      <c r="C616">
        <v>9</v>
      </c>
      <c r="D616" t="s">
        <v>71</v>
      </c>
      <c r="E616" s="7">
        <v>25</v>
      </c>
      <c r="F616">
        <v>1250</v>
      </c>
      <c r="G616">
        <v>4</v>
      </c>
      <c r="H616">
        <v>3</v>
      </c>
      <c r="I616" t="s">
        <v>72</v>
      </c>
      <c r="J616">
        <v>1</v>
      </c>
      <c r="K616">
        <v>59</v>
      </c>
    </row>
    <row r="617" spans="1:11" x14ac:dyDescent="0.35">
      <c r="A617" t="s">
        <v>779</v>
      </c>
      <c r="B617" s="4" t="s">
        <v>775</v>
      </c>
      <c r="C617">
        <v>9</v>
      </c>
      <c r="D617" t="s">
        <v>45</v>
      </c>
      <c r="E617" s="7">
        <v>-5</v>
      </c>
      <c r="F617">
        <v>-250</v>
      </c>
      <c r="G617">
        <v>2</v>
      </c>
      <c r="I617" t="s">
        <v>46</v>
      </c>
      <c r="J617">
        <v>1</v>
      </c>
      <c r="K617">
        <v>54</v>
      </c>
    </row>
    <row r="618" spans="1:11" x14ac:dyDescent="0.35">
      <c r="A618" t="s">
        <v>780</v>
      </c>
      <c r="B618" s="4" t="s">
        <v>781</v>
      </c>
      <c r="C618">
        <v>29</v>
      </c>
      <c r="D618" t="s">
        <v>71</v>
      </c>
      <c r="E618" s="7">
        <v>39</v>
      </c>
      <c r="F618">
        <v>1950</v>
      </c>
      <c r="G618">
        <v>4</v>
      </c>
      <c r="H618">
        <v>4</v>
      </c>
      <c r="I618" t="s">
        <v>72</v>
      </c>
      <c r="J618">
        <v>1</v>
      </c>
      <c r="K618">
        <v>231</v>
      </c>
    </row>
    <row r="619" spans="1:11" x14ac:dyDescent="0.35">
      <c r="A619" t="s">
        <v>782</v>
      </c>
      <c r="B619" s="4" t="s">
        <v>781</v>
      </c>
      <c r="C619">
        <v>24</v>
      </c>
      <c r="D619" t="s">
        <v>71</v>
      </c>
      <c r="E619" s="7">
        <v>40</v>
      </c>
      <c r="F619">
        <v>2000</v>
      </c>
      <c r="G619">
        <v>4</v>
      </c>
      <c r="H619">
        <v>3</v>
      </c>
      <c r="I619" t="s">
        <v>72</v>
      </c>
      <c r="J619">
        <v>1</v>
      </c>
      <c r="K619">
        <v>300</v>
      </c>
    </row>
    <row r="620" spans="1:11" x14ac:dyDescent="0.35">
      <c r="A620" t="s">
        <v>783</v>
      </c>
      <c r="B620" s="4" t="s">
        <v>781</v>
      </c>
      <c r="C620">
        <v>9</v>
      </c>
      <c r="D620" t="s">
        <v>45</v>
      </c>
      <c r="E620" s="7">
        <v>-4</v>
      </c>
      <c r="F620">
        <v>-200</v>
      </c>
      <c r="G620">
        <v>1</v>
      </c>
      <c r="I620" t="s">
        <v>46</v>
      </c>
      <c r="J620">
        <v>1</v>
      </c>
      <c r="K620">
        <v>50</v>
      </c>
    </row>
    <row r="621" spans="1:11" x14ac:dyDescent="0.35">
      <c r="A621" t="s">
        <v>784</v>
      </c>
      <c r="B621" s="4" t="s">
        <v>781</v>
      </c>
      <c r="C621">
        <v>9</v>
      </c>
      <c r="D621" t="s">
        <v>45</v>
      </c>
      <c r="E621" s="7">
        <v>-3</v>
      </c>
      <c r="F621">
        <v>-150</v>
      </c>
      <c r="G621">
        <v>2</v>
      </c>
      <c r="I621" t="s">
        <v>46</v>
      </c>
      <c r="J621">
        <v>1</v>
      </c>
      <c r="K621">
        <v>47</v>
      </c>
    </row>
    <row r="622" spans="1:11" x14ac:dyDescent="0.35">
      <c r="A622" t="s">
        <v>785</v>
      </c>
      <c r="B622" s="4" t="s">
        <v>786</v>
      </c>
      <c r="C622">
        <v>17</v>
      </c>
      <c r="D622" t="s">
        <v>71</v>
      </c>
      <c r="E622" s="7">
        <v>47</v>
      </c>
      <c r="F622">
        <v>2350</v>
      </c>
      <c r="G622">
        <v>4</v>
      </c>
      <c r="H622">
        <v>2</v>
      </c>
      <c r="I622" t="s">
        <v>72</v>
      </c>
      <c r="J622">
        <v>1</v>
      </c>
      <c r="K622">
        <v>194</v>
      </c>
    </row>
    <row r="623" spans="1:11" x14ac:dyDescent="0.35">
      <c r="A623" t="s">
        <v>787</v>
      </c>
      <c r="B623" s="4" t="s">
        <v>786</v>
      </c>
      <c r="C623">
        <v>25</v>
      </c>
      <c r="D623" t="s">
        <v>71</v>
      </c>
      <c r="E623" s="7">
        <v>47</v>
      </c>
      <c r="F623">
        <v>2350</v>
      </c>
      <c r="G623">
        <v>4</v>
      </c>
      <c r="H623">
        <v>4</v>
      </c>
      <c r="I623" t="s">
        <v>72</v>
      </c>
      <c r="J623">
        <v>1</v>
      </c>
      <c r="K623">
        <v>220</v>
      </c>
    </row>
    <row r="624" spans="1:11" x14ac:dyDescent="0.35">
      <c r="A624" t="s">
        <v>788</v>
      </c>
      <c r="B624" s="4" t="s">
        <v>786</v>
      </c>
      <c r="C624">
        <v>23</v>
      </c>
      <c r="D624" t="s">
        <v>71</v>
      </c>
      <c r="E624" s="7">
        <v>25</v>
      </c>
      <c r="F624">
        <v>1250</v>
      </c>
      <c r="G624">
        <v>4</v>
      </c>
      <c r="H624">
        <v>2</v>
      </c>
      <c r="I624" t="s">
        <v>72</v>
      </c>
      <c r="J624">
        <v>1</v>
      </c>
      <c r="K624">
        <v>316</v>
      </c>
    </row>
    <row r="625" spans="1:11" x14ac:dyDescent="0.35">
      <c r="A625" t="s">
        <v>789</v>
      </c>
      <c r="B625" s="4" t="s">
        <v>786</v>
      </c>
      <c r="C625">
        <v>5</v>
      </c>
      <c r="D625" t="s">
        <v>71</v>
      </c>
      <c r="E625" s="7">
        <v>50</v>
      </c>
      <c r="F625">
        <v>2500</v>
      </c>
      <c r="G625">
        <v>4</v>
      </c>
      <c r="H625">
        <v>3</v>
      </c>
      <c r="I625" t="s">
        <v>72</v>
      </c>
      <c r="J625">
        <v>1</v>
      </c>
      <c r="K625">
        <v>50</v>
      </c>
    </row>
    <row r="626" spans="1:11" x14ac:dyDescent="0.35">
      <c r="A626" t="s">
        <v>790</v>
      </c>
      <c r="B626" s="4" t="s">
        <v>786</v>
      </c>
      <c r="C626">
        <v>5</v>
      </c>
      <c r="D626" t="s">
        <v>45</v>
      </c>
      <c r="E626" s="7">
        <v>-4</v>
      </c>
      <c r="F626">
        <v>-200</v>
      </c>
      <c r="G626">
        <v>1</v>
      </c>
      <c r="I626" t="s">
        <v>46</v>
      </c>
      <c r="J626">
        <v>1</v>
      </c>
      <c r="K626">
        <v>46</v>
      </c>
    </row>
    <row r="627" spans="1:11" x14ac:dyDescent="0.35">
      <c r="A627" t="s">
        <v>791</v>
      </c>
      <c r="B627" s="4" t="s">
        <v>786</v>
      </c>
      <c r="C627">
        <v>9</v>
      </c>
      <c r="D627" t="s">
        <v>45</v>
      </c>
      <c r="E627" s="7">
        <v>-2</v>
      </c>
      <c r="F627">
        <v>-100</v>
      </c>
      <c r="G627">
        <v>1</v>
      </c>
      <c r="I627" t="s">
        <v>46</v>
      </c>
      <c r="J627">
        <v>1</v>
      </c>
      <c r="K627">
        <v>45</v>
      </c>
    </row>
    <row r="628" spans="1:11" x14ac:dyDescent="0.35">
      <c r="A628" t="s">
        <v>792</v>
      </c>
      <c r="B628" s="4" t="s">
        <v>786</v>
      </c>
      <c r="C628">
        <v>5</v>
      </c>
      <c r="D628" t="s">
        <v>45</v>
      </c>
      <c r="E628" s="7">
        <v>-2</v>
      </c>
      <c r="F628">
        <v>-100</v>
      </c>
      <c r="G628">
        <v>2</v>
      </c>
      <c r="I628" t="s">
        <v>46</v>
      </c>
      <c r="J628">
        <v>1</v>
      </c>
      <c r="K628">
        <v>44</v>
      </c>
    </row>
    <row r="629" spans="1:11" x14ac:dyDescent="0.35">
      <c r="A629" t="s">
        <v>793</v>
      </c>
      <c r="B629" s="4" t="s">
        <v>786</v>
      </c>
      <c r="C629">
        <v>9</v>
      </c>
      <c r="D629" t="s">
        <v>45</v>
      </c>
      <c r="E629" s="7">
        <v>-7</v>
      </c>
      <c r="F629">
        <v>-350</v>
      </c>
      <c r="G629">
        <v>2</v>
      </c>
      <c r="I629" t="s">
        <v>46</v>
      </c>
      <c r="J629">
        <v>1</v>
      </c>
      <c r="K629">
        <v>38</v>
      </c>
    </row>
    <row r="630" spans="1:11" x14ac:dyDescent="0.35">
      <c r="A630" t="s">
        <v>794</v>
      </c>
      <c r="B630" s="4" t="s">
        <v>786</v>
      </c>
      <c r="C630">
        <v>5</v>
      </c>
      <c r="D630" t="s">
        <v>45</v>
      </c>
      <c r="E630" s="7">
        <v>-4</v>
      </c>
      <c r="F630">
        <v>-200</v>
      </c>
      <c r="G630">
        <v>3</v>
      </c>
      <c r="I630" t="s">
        <v>46</v>
      </c>
      <c r="J630">
        <v>1</v>
      </c>
      <c r="K630">
        <v>40</v>
      </c>
    </row>
    <row r="631" spans="1:11" x14ac:dyDescent="0.35">
      <c r="A631" t="s">
        <v>795</v>
      </c>
      <c r="B631" s="4" t="s">
        <v>786</v>
      </c>
      <c r="C631">
        <v>9</v>
      </c>
      <c r="D631" t="s">
        <v>45</v>
      </c>
      <c r="E631" s="7">
        <v>-3</v>
      </c>
      <c r="F631">
        <v>-150</v>
      </c>
      <c r="G631">
        <v>3</v>
      </c>
      <c r="I631" t="s">
        <v>46</v>
      </c>
      <c r="J631">
        <v>1</v>
      </c>
      <c r="K631">
        <v>35</v>
      </c>
    </row>
    <row r="632" spans="1:11" x14ac:dyDescent="0.35">
      <c r="A632" t="s">
        <v>796</v>
      </c>
      <c r="B632" s="4" t="s">
        <v>797</v>
      </c>
      <c r="C632">
        <v>5</v>
      </c>
      <c r="D632" t="s">
        <v>45</v>
      </c>
      <c r="E632" s="7">
        <v>-4</v>
      </c>
      <c r="F632">
        <v>-200</v>
      </c>
      <c r="G632">
        <v>1</v>
      </c>
      <c r="I632" t="s">
        <v>46</v>
      </c>
      <c r="J632">
        <v>1</v>
      </c>
      <c r="K632">
        <v>36</v>
      </c>
    </row>
    <row r="633" spans="1:11" x14ac:dyDescent="0.35">
      <c r="A633" t="s">
        <v>798</v>
      </c>
      <c r="B633" s="4" t="s">
        <v>797</v>
      </c>
      <c r="C633">
        <v>5</v>
      </c>
      <c r="D633" t="s">
        <v>45</v>
      </c>
      <c r="E633" s="7">
        <v>-7</v>
      </c>
      <c r="F633">
        <v>-350</v>
      </c>
      <c r="G633">
        <v>2</v>
      </c>
      <c r="I633" t="s">
        <v>46</v>
      </c>
      <c r="J633">
        <v>1</v>
      </c>
      <c r="K633">
        <v>29</v>
      </c>
    </row>
    <row r="634" spans="1:11" x14ac:dyDescent="0.35">
      <c r="A634" t="s">
        <v>799</v>
      </c>
      <c r="B634" s="4" t="s">
        <v>797</v>
      </c>
      <c r="C634">
        <v>9</v>
      </c>
      <c r="D634" t="s">
        <v>45</v>
      </c>
      <c r="E634" s="7">
        <v>-2</v>
      </c>
      <c r="F634">
        <v>-100</v>
      </c>
      <c r="G634">
        <v>2</v>
      </c>
      <c r="I634" t="s">
        <v>46</v>
      </c>
      <c r="J634">
        <v>1</v>
      </c>
      <c r="K634">
        <v>33</v>
      </c>
    </row>
    <row r="635" spans="1:11" x14ac:dyDescent="0.35">
      <c r="A635" t="s">
        <v>800</v>
      </c>
      <c r="B635" s="4" t="s">
        <v>797</v>
      </c>
      <c r="C635">
        <v>5</v>
      </c>
      <c r="D635" t="s">
        <v>45</v>
      </c>
      <c r="E635" s="7">
        <v>-6</v>
      </c>
      <c r="F635">
        <v>-300</v>
      </c>
      <c r="G635">
        <v>3</v>
      </c>
      <c r="I635" t="s">
        <v>46</v>
      </c>
      <c r="J635">
        <v>1</v>
      </c>
      <c r="K635">
        <v>23</v>
      </c>
    </row>
    <row r="636" spans="1:11" x14ac:dyDescent="0.35">
      <c r="A636" t="s">
        <v>801</v>
      </c>
      <c r="B636" s="4" t="s">
        <v>797</v>
      </c>
      <c r="C636">
        <v>9</v>
      </c>
      <c r="D636" t="s">
        <v>45</v>
      </c>
      <c r="E636" s="7">
        <v>-7</v>
      </c>
      <c r="F636">
        <v>-350</v>
      </c>
      <c r="G636">
        <v>3</v>
      </c>
      <c r="I636" t="s">
        <v>46</v>
      </c>
      <c r="J636">
        <v>1</v>
      </c>
      <c r="K636">
        <v>26</v>
      </c>
    </row>
    <row r="637" spans="1:11" x14ac:dyDescent="0.35">
      <c r="A637" t="s">
        <v>802</v>
      </c>
      <c r="B637" s="4" t="s">
        <v>803</v>
      </c>
      <c r="C637">
        <v>5</v>
      </c>
      <c r="D637" t="s">
        <v>45</v>
      </c>
      <c r="E637" s="7">
        <v>-2</v>
      </c>
      <c r="F637">
        <v>-100</v>
      </c>
      <c r="G637">
        <v>1</v>
      </c>
      <c r="I637" t="s">
        <v>46</v>
      </c>
      <c r="J637">
        <v>1</v>
      </c>
      <c r="K637">
        <v>21</v>
      </c>
    </row>
    <row r="638" spans="1:11" x14ac:dyDescent="0.35">
      <c r="A638" t="s">
        <v>804</v>
      </c>
      <c r="B638" s="4" t="s">
        <v>803</v>
      </c>
      <c r="C638">
        <v>5</v>
      </c>
      <c r="D638" t="s">
        <v>45</v>
      </c>
      <c r="E638" s="7">
        <v>-7</v>
      </c>
      <c r="F638">
        <v>-350</v>
      </c>
      <c r="G638">
        <v>2</v>
      </c>
      <c r="I638" t="s">
        <v>46</v>
      </c>
      <c r="J638">
        <v>1</v>
      </c>
      <c r="K638">
        <v>14</v>
      </c>
    </row>
    <row r="639" spans="1:11" x14ac:dyDescent="0.35">
      <c r="A639" t="s">
        <v>805</v>
      </c>
      <c r="B639" s="4" t="s">
        <v>803</v>
      </c>
      <c r="C639">
        <v>5</v>
      </c>
      <c r="D639" t="s">
        <v>45</v>
      </c>
      <c r="E639" s="7">
        <v>-4</v>
      </c>
      <c r="F639">
        <v>-200</v>
      </c>
      <c r="G639">
        <v>3</v>
      </c>
      <c r="I639" t="s">
        <v>46</v>
      </c>
      <c r="J639">
        <v>1</v>
      </c>
      <c r="K639">
        <v>10</v>
      </c>
    </row>
    <row r="640" spans="1:11" x14ac:dyDescent="0.35">
      <c r="A640" t="s">
        <v>806</v>
      </c>
      <c r="B640" s="4" t="s">
        <v>807</v>
      </c>
      <c r="C640">
        <v>9</v>
      </c>
      <c r="D640" t="s">
        <v>45</v>
      </c>
      <c r="E640" s="7">
        <v>-5</v>
      </c>
      <c r="F640">
        <v>-250</v>
      </c>
      <c r="G640">
        <v>1</v>
      </c>
      <c r="I640" t="s">
        <v>46</v>
      </c>
      <c r="J640">
        <v>1</v>
      </c>
      <c r="K640">
        <v>21</v>
      </c>
    </row>
    <row r="641" spans="1:11" x14ac:dyDescent="0.35">
      <c r="A641" t="s">
        <v>808</v>
      </c>
      <c r="B641" s="4" t="s">
        <v>807</v>
      </c>
      <c r="C641">
        <v>5</v>
      </c>
      <c r="D641" t="s">
        <v>45</v>
      </c>
      <c r="E641" s="7">
        <v>-2</v>
      </c>
      <c r="F641">
        <v>-100</v>
      </c>
      <c r="G641">
        <v>2</v>
      </c>
      <c r="I641" t="s">
        <v>46</v>
      </c>
      <c r="J641">
        <v>1</v>
      </c>
      <c r="K641">
        <v>8</v>
      </c>
    </row>
    <row r="642" spans="1:11" x14ac:dyDescent="0.35">
      <c r="A642" t="s">
        <v>809</v>
      </c>
      <c r="B642" s="4" t="s">
        <v>807</v>
      </c>
      <c r="C642">
        <v>9</v>
      </c>
      <c r="D642" t="s">
        <v>45</v>
      </c>
      <c r="E642" s="7">
        <v>-4</v>
      </c>
      <c r="F642">
        <v>-200</v>
      </c>
      <c r="G642">
        <v>2</v>
      </c>
      <c r="I642" t="s">
        <v>46</v>
      </c>
      <c r="J642">
        <v>1</v>
      </c>
      <c r="K642">
        <v>17</v>
      </c>
    </row>
    <row r="643" spans="1:11" x14ac:dyDescent="0.35">
      <c r="A643" t="s">
        <v>810</v>
      </c>
      <c r="B643" s="4" t="s">
        <v>807</v>
      </c>
      <c r="C643">
        <v>5</v>
      </c>
      <c r="D643" t="s">
        <v>45</v>
      </c>
      <c r="E643" s="7">
        <v>-6</v>
      </c>
      <c r="F643">
        <v>-300</v>
      </c>
      <c r="G643">
        <v>3</v>
      </c>
      <c r="I643" t="s">
        <v>46</v>
      </c>
      <c r="J643">
        <v>1</v>
      </c>
      <c r="K643">
        <v>2</v>
      </c>
    </row>
    <row r="644" spans="1:11" x14ac:dyDescent="0.35">
      <c r="A644" t="s">
        <v>811</v>
      </c>
      <c r="B644" s="4" t="s">
        <v>812</v>
      </c>
      <c r="C644">
        <v>5</v>
      </c>
      <c r="D644" t="s">
        <v>71</v>
      </c>
      <c r="E644" s="7">
        <v>44</v>
      </c>
      <c r="F644">
        <v>2200</v>
      </c>
      <c r="G644">
        <v>4</v>
      </c>
      <c r="H644">
        <v>3</v>
      </c>
      <c r="I644" t="s">
        <v>72</v>
      </c>
      <c r="J644">
        <v>1</v>
      </c>
      <c r="K644">
        <v>46</v>
      </c>
    </row>
    <row r="645" spans="1:11" x14ac:dyDescent="0.35">
      <c r="A645" t="s">
        <v>813</v>
      </c>
      <c r="B645" s="4" t="s">
        <v>812</v>
      </c>
      <c r="C645">
        <v>29</v>
      </c>
      <c r="D645" t="s">
        <v>71</v>
      </c>
      <c r="E645" s="7">
        <v>45</v>
      </c>
      <c r="F645">
        <v>2250</v>
      </c>
      <c r="G645">
        <v>4</v>
      </c>
      <c r="H645">
        <v>4</v>
      </c>
      <c r="I645" t="s">
        <v>72</v>
      </c>
      <c r="J645">
        <v>1</v>
      </c>
      <c r="K645">
        <v>276</v>
      </c>
    </row>
    <row r="646" spans="1:11" x14ac:dyDescent="0.35">
      <c r="A646" t="s">
        <v>814</v>
      </c>
      <c r="B646" s="4" t="s">
        <v>812</v>
      </c>
      <c r="C646">
        <v>12</v>
      </c>
      <c r="D646" t="s">
        <v>71</v>
      </c>
      <c r="E646" s="7">
        <v>28</v>
      </c>
      <c r="F646">
        <v>1400</v>
      </c>
      <c r="G646">
        <v>4</v>
      </c>
      <c r="H646">
        <v>3</v>
      </c>
      <c r="I646" t="s">
        <v>72</v>
      </c>
      <c r="J646">
        <v>1</v>
      </c>
      <c r="K646">
        <v>28</v>
      </c>
    </row>
    <row r="647" spans="1:11" x14ac:dyDescent="0.35">
      <c r="A647" t="s">
        <v>815</v>
      </c>
      <c r="B647" s="4" t="s">
        <v>812</v>
      </c>
      <c r="C647">
        <v>17</v>
      </c>
      <c r="D647" t="s">
        <v>71</v>
      </c>
      <c r="E647" s="7">
        <v>28</v>
      </c>
      <c r="F647">
        <v>1400</v>
      </c>
      <c r="G647">
        <v>4</v>
      </c>
      <c r="H647">
        <v>2</v>
      </c>
      <c r="I647" t="s">
        <v>72</v>
      </c>
      <c r="J647">
        <v>1</v>
      </c>
      <c r="K647">
        <v>222</v>
      </c>
    </row>
    <row r="648" spans="1:11" x14ac:dyDescent="0.35">
      <c r="A648" t="s">
        <v>816</v>
      </c>
      <c r="B648" s="4" t="s">
        <v>812</v>
      </c>
      <c r="C648">
        <v>5</v>
      </c>
      <c r="D648" t="s">
        <v>45</v>
      </c>
      <c r="E648" s="7">
        <v>-5</v>
      </c>
      <c r="F648">
        <v>-250</v>
      </c>
      <c r="G648">
        <v>1</v>
      </c>
      <c r="I648" t="s">
        <v>46</v>
      </c>
      <c r="J648">
        <v>1</v>
      </c>
      <c r="K648">
        <v>41</v>
      </c>
    </row>
    <row r="649" spans="1:11" x14ac:dyDescent="0.35">
      <c r="A649" t="s">
        <v>817</v>
      </c>
      <c r="B649" s="4" t="s">
        <v>812</v>
      </c>
      <c r="C649">
        <v>9</v>
      </c>
      <c r="D649" t="s">
        <v>45</v>
      </c>
      <c r="E649" s="7">
        <v>-5</v>
      </c>
      <c r="F649">
        <v>-250</v>
      </c>
      <c r="G649">
        <v>1</v>
      </c>
      <c r="I649" t="s">
        <v>46</v>
      </c>
      <c r="J649">
        <v>1</v>
      </c>
      <c r="K649">
        <v>12</v>
      </c>
    </row>
    <row r="650" spans="1:11" x14ac:dyDescent="0.35">
      <c r="A650" t="s">
        <v>818</v>
      </c>
      <c r="B650" s="4" t="s">
        <v>812</v>
      </c>
      <c r="C650">
        <v>5</v>
      </c>
      <c r="D650" t="s">
        <v>45</v>
      </c>
      <c r="E650" s="7">
        <v>-4</v>
      </c>
      <c r="F650">
        <v>-200</v>
      </c>
      <c r="G650">
        <v>2</v>
      </c>
      <c r="I650" t="s">
        <v>46</v>
      </c>
      <c r="J650">
        <v>1</v>
      </c>
      <c r="K650">
        <v>37</v>
      </c>
    </row>
    <row r="651" spans="1:11" x14ac:dyDescent="0.35">
      <c r="A651" t="s">
        <v>819</v>
      </c>
      <c r="B651" s="4" t="s">
        <v>812</v>
      </c>
      <c r="C651">
        <v>12</v>
      </c>
      <c r="D651" t="s">
        <v>45</v>
      </c>
      <c r="E651" s="7">
        <v>-4</v>
      </c>
      <c r="F651">
        <v>-200</v>
      </c>
      <c r="G651">
        <v>2</v>
      </c>
      <c r="I651" t="s">
        <v>46</v>
      </c>
      <c r="J651">
        <v>1</v>
      </c>
      <c r="K651">
        <v>24</v>
      </c>
    </row>
    <row r="652" spans="1:11" x14ac:dyDescent="0.35">
      <c r="A652" t="s">
        <v>820</v>
      </c>
      <c r="B652" s="4" t="s">
        <v>812</v>
      </c>
      <c r="C652">
        <v>5</v>
      </c>
      <c r="D652" t="s">
        <v>45</v>
      </c>
      <c r="E652" s="7">
        <v>-4</v>
      </c>
      <c r="F652">
        <v>-200</v>
      </c>
      <c r="G652">
        <v>3</v>
      </c>
      <c r="I652" t="s">
        <v>46</v>
      </c>
      <c r="J652">
        <v>1</v>
      </c>
      <c r="K652">
        <v>33</v>
      </c>
    </row>
    <row r="653" spans="1:11" x14ac:dyDescent="0.35">
      <c r="A653" t="s">
        <v>821</v>
      </c>
      <c r="B653" s="4" t="s">
        <v>812</v>
      </c>
      <c r="C653">
        <v>9</v>
      </c>
      <c r="D653" t="s">
        <v>45</v>
      </c>
      <c r="E653" s="7">
        <v>-5</v>
      </c>
      <c r="F653">
        <v>-250</v>
      </c>
      <c r="G653">
        <v>3</v>
      </c>
      <c r="I653" t="s">
        <v>46</v>
      </c>
      <c r="J653">
        <v>1</v>
      </c>
      <c r="K653">
        <v>7</v>
      </c>
    </row>
    <row r="654" spans="1:11" x14ac:dyDescent="0.35">
      <c r="A654" t="s">
        <v>822</v>
      </c>
      <c r="B654" s="4" t="s">
        <v>823</v>
      </c>
      <c r="C654">
        <v>5</v>
      </c>
      <c r="D654" t="s">
        <v>45</v>
      </c>
      <c r="E654" s="7">
        <v>-2</v>
      </c>
      <c r="F654">
        <v>-100</v>
      </c>
      <c r="G654">
        <v>1</v>
      </c>
      <c r="I654" t="s">
        <v>46</v>
      </c>
      <c r="J654">
        <v>1</v>
      </c>
      <c r="K654">
        <v>31</v>
      </c>
    </row>
    <row r="655" spans="1:11" x14ac:dyDescent="0.35">
      <c r="A655" t="s">
        <v>824</v>
      </c>
      <c r="B655" s="4" t="s">
        <v>823</v>
      </c>
      <c r="C655">
        <v>9</v>
      </c>
      <c r="D655" t="s">
        <v>45</v>
      </c>
      <c r="E655" s="7">
        <v>-3</v>
      </c>
      <c r="F655">
        <v>-150</v>
      </c>
      <c r="G655">
        <v>1</v>
      </c>
      <c r="I655" t="s">
        <v>46</v>
      </c>
      <c r="J655">
        <v>1</v>
      </c>
      <c r="K655">
        <v>4</v>
      </c>
    </row>
    <row r="656" spans="1:11" x14ac:dyDescent="0.35">
      <c r="A656" t="s">
        <v>825</v>
      </c>
      <c r="B656" s="4" t="s">
        <v>823</v>
      </c>
      <c r="C656">
        <v>12</v>
      </c>
      <c r="D656" t="s">
        <v>45</v>
      </c>
      <c r="E656" s="7">
        <v>-6</v>
      </c>
      <c r="F656">
        <v>-300</v>
      </c>
      <c r="G656">
        <v>1</v>
      </c>
      <c r="I656" t="s">
        <v>46</v>
      </c>
      <c r="J656">
        <v>1</v>
      </c>
      <c r="K656">
        <v>18</v>
      </c>
    </row>
    <row r="657" spans="1:11" x14ac:dyDescent="0.35">
      <c r="A657" t="s">
        <v>826</v>
      </c>
      <c r="B657" s="4" t="s">
        <v>823</v>
      </c>
      <c r="C657">
        <v>5</v>
      </c>
      <c r="D657" t="s">
        <v>45</v>
      </c>
      <c r="E657" s="7">
        <v>-5</v>
      </c>
      <c r="F657">
        <v>-250</v>
      </c>
      <c r="G657">
        <v>2</v>
      </c>
      <c r="I657" t="s">
        <v>46</v>
      </c>
      <c r="J657">
        <v>1</v>
      </c>
      <c r="K657">
        <v>26</v>
      </c>
    </row>
    <row r="658" spans="1:11" x14ac:dyDescent="0.35">
      <c r="A658" t="s">
        <v>827</v>
      </c>
      <c r="B658" s="4" t="s">
        <v>823</v>
      </c>
      <c r="C658">
        <v>12</v>
      </c>
      <c r="D658" t="s">
        <v>45</v>
      </c>
      <c r="E658" s="7">
        <v>-2</v>
      </c>
      <c r="F658">
        <v>-100</v>
      </c>
      <c r="G658">
        <v>2</v>
      </c>
      <c r="I658" t="s">
        <v>46</v>
      </c>
      <c r="J658">
        <v>1</v>
      </c>
      <c r="K658">
        <v>16</v>
      </c>
    </row>
    <row r="659" spans="1:11" x14ac:dyDescent="0.35">
      <c r="A659" t="s">
        <v>828</v>
      </c>
      <c r="B659" s="4" t="s">
        <v>823</v>
      </c>
      <c r="C659">
        <v>5</v>
      </c>
      <c r="D659" t="s">
        <v>45</v>
      </c>
      <c r="E659" s="7">
        <v>-4</v>
      </c>
      <c r="F659">
        <v>-200</v>
      </c>
      <c r="G659">
        <v>3</v>
      </c>
      <c r="I659" t="s">
        <v>46</v>
      </c>
      <c r="J659">
        <v>1</v>
      </c>
      <c r="K659">
        <v>22</v>
      </c>
    </row>
    <row r="660" spans="1:11" x14ac:dyDescent="0.35">
      <c r="A660" t="s">
        <v>829</v>
      </c>
      <c r="B660" s="4" t="s">
        <v>823</v>
      </c>
      <c r="C660">
        <v>9</v>
      </c>
      <c r="D660" t="s">
        <v>45</v>
      </c>
      <c r="E660" s="7">
        <v>-4</v>
      </c>
      <c r="F660">
        <v>-200</v>
      </c>
      <c r="G660">
        <v>3</v>
      </c>
      <c r="I660" t="s">
        <v>46</v>
      </c>
      <c r="J660">
        <v>1</v>
      </c>
      <c r="K660">
        <v>0</v>
      </c>
    </row>
    <row r="661" spans="1:11" x14ac:dyDescent="0.35">
      <c r="A661" t="s">
        <v>830</v>
      </c>
      <c r="B661" s="4" t="s">
        <v>831</v>
      </c>
      <c r="C661">
        <v>5</v>
      </c>
      <c r="D661" t="s">
        <v>45</v>
      </c>
      <c r="E661" s="7">
        <v>-4</v>
      </c>
      <c r="F661">
        <v>-200</v>
      </c>
      <c r="G661">
        <v>1</v>
      </c>
      <c r="I661" t="s">
        <v>46</v>
      </c>
      <c r="J661">
        <v>1</v>
      </c>
      <c r="K661">
        <v>18</v>
      </c>
    </row>
    <row r="662" spans="1:11" x14ac:dyDescent="0.35">
      <c r="A662" t="s">
        <v>832</v>
      </c>
      <c r="B662" s="4" t="s">
        <v>831</v>
      </c>
      <c r="C662">
        <v>12</v>
      </c>
      <c r="D662" t="s">
        <v>45</v>
      </c>
      <c r="E662" s="7">
        <v>-7</v>
      </c>
      <c r="F662">
        <v>-350</v>
      </c>
      <c r="G662">
        <v>1</v>
      </c>
      <c r="I662" t="s">
        <v>46</v>
      </c>
      <c r="J662">
        <v>1</v>
      </c>
      <c r="K662">
        <v>9</v>
      </c>
    </row>
    <row r="663" spans="1:11" x14ac:dyDescent="0.35">
      <c r="A663" t="s">
        <v>833</v>
      </c>
      <c r="B663" s="4" t="s">
        <v>831</v>
      </c>
      <c r="C663">
        <v>5</v>
      </c>
      <c r="D663" t="s">
        <v>45</v>
      </c>
      <c r="E663" s="7">
        <v>-7</v>
      </c>
      <c r="F663">
        <v>-350</v>
      </c>
      <c r="G663">
        <v>2</v>
      </c>
      <c r="I663" t="s">
        <v>46</v>
      </c>
      <c r="J663">
        <v>1</v>
      </c>
      <c r="K663">
        <v>11</v>
      </c>
    </row>
    <row r="664" spans="1:11" x14ac:dyDescent="0.35">
      <c r="A664" t="s">
        <v>834</v>
      </c>
      <c r="B664" s="4" t="s">
        <v>831</v>
      </c>
      <c r="C664">
        <v>12</v>
      </c>
      <c r="D664" t="s">
        <v>45</v>
      </c>
      <c r="E664" s="7">
        <v>-6</v>
      </c>
      <c r="F664">
        <v>-300</v>
      </c>
      <c r="G664">
        <v>2</v>
      </c>
      <c r="I664" t="s">
        <v>46</v>
      </c>
      <c r="J664">
        <v>1</v>
      </c>
      <c r="K664">
        <v>3</v>
      </c>
    </row>
    <row r="665" spans="1:11" x14ac:dyDescent="0.35">
      <c r="A665" t="s">
        <v>835</v>
      </c>
      <c r="B665" s="4" t="s">
        <v>831</v>
      </c>
      <c r="C665">
        <v>5</v>
      </c>
      <c r="D665" t="s">
        <v>45</v>
      </c>
      <c r="E665" s="7">
        <v>-6</v>
      </c>
      <c r="F665">
        <v>-300</v>
      </c>
      <c r="G665">
        <v>3</v>
      </c>
      <c r="I665" t="s">
        <v>46</v>
      </c>
      <c r="J665">
        <v>1</v>
      </c>
      <c r="K665">
        <v>5</v>
      </c>
    </row>
    <row r="666" spans="1:11" x14ac:dyDescent="0.35">
      <c r="A666" t="s">
        <v>836</v>
      </c>
      <c r="B666" s="4" t="s">
        <v>837</v>
      </c>
      <c r="C666">
        <v>12</v>
      </c>
      <c r="D666" t="s">
        <v>45</v>
      </c>
      <c r="E666" s="7">
        <v>-2</v>
      </c>
      <c r="F666">
        <v>-100</v>
      </c>
      <c r="G666">
        <v>2</v>
      </c>
      <c r="I666" t="s">
        <v>46</v>
      </c>
      <c r="J666">
        <v>1</v>
      </c>
      <c r="K666">
        <v>1</v>
      </c>
    </row>
    <row r="667" spans="1:11" x14ac:dyDescent="0.35">
      <c r="A667" t="s">
        <v>838</v>
      </c>
      <c r="B667" s="4" t="s">
        <v>839</v>
      </c>
      <c r="C667">
        <v>5</v>
      </c>
      <c r="D667" t="s">
        <v>45</v>
      </c>
      <c r="E667" s="7">
        <v>-2</v>
      </c>
      <c r="F667">
        <v>-100</v>
      </c>
      <c r="G667">
        <v>3</v>
      </c>
      <c r="I667" t="s">
        <v>46</v>
      </c>
      <c r="J667">
        <v>1</v>
      </c>
      <c r="K667">
        <v>3</v>
      </c>
    </row>
    <row r="668" spans="1:11" x14ac:dyDescent="0.35">
      <c r="A668" t="s">
        <v>840</v>
      </c>
      <c r="B668" s="4" t="s">
        <v>841</v>
      </c>
      <c r="C668">
        <v>32</v>
      </c>
      <c r="D668" t="s">
        <v>71</v>
      </c>
      <c r="E668" s="7">
        <v>20</v>
      </c>
      <c r="F668">
        <v>1000</v>
      </c>
      <c r="G668">
        <v>4</v>
      </c>
      <c r="H668">
        <v>4</v>
      </c>
      <c r="I668" t="s">
        <v>72</v>
      </c>
      <c r="J668">
        <v>1</v>
      </c>
      <c r="K668">
        <v>284</v>
      </c>
    </row>
    <row r="669" spans="1:11" x14ac:dyDescent="0.35">
      <c r="A669" t="s">
        <v>842</v>
      </c>
      <c r="B669" s="4" t="s">
        <v>841</v>
      </c>
      <c r="C669">
        <v>3</v>
      </c>
      <c r="D669" t="s">
        <v>71</v>
      </c>
      <c r="E669" s="7">
        <v>70</v>
      </c>
      <c r="F669">
        <v>3500</v>
      </c>
      <c r="G669">
        <v>4</v>
      </c>
      <c r="H669">
        <v>2</v>
      </c>
      <c r="I669" t="s">
        <v>72</v>
      </c>
      <c r="J669">
        <v>1</v>
      </c>
      <c r="K669">
        <v>396</v>
      </c>
    </row>
    <row r="670" spans="1:11" x14ac:dyDescent="0.35">
      <c r="A670" t="s">
        <v>843</v>
      </c>
      <c r="B670" s="4" t="s">
        <v>841</v>
      </c>
      <c r="C670">
        <v>11</v>
      </c>
      <c r="D670" t="s">
        <v>71</v>
      </c>
      <c r="E670" s="7">
        <v>44</v>
      </c>
      <c r="F670">
        <v>2200</v>
      </c>
      <c r="G670">
        <v>4</v>
      </c>
      <c r="H670">
        <v>4</v>
      </c>
      <c r="I670" t="s">
        <v>72</v>
      </c>
      <c r="J670">
        <v>1</v>
      </c>
      <c r="K670">
        <v>44</v>
      </c>
    </row>
    <row r="671" spans="1:11" x14ac:dyDescent="0.35">
      <c r="A671" t="s">
        <v>844</v>
      </c>
      <c r="B671" s="4" t="s">
        <v>841</v>
      </c>
      <c r="C671">
        <v>19</v>
      </c>
      <c r="D671" t="s">
        <v>71</v>
      </c>
      <c r="E671" s="7">
        <v>42</v>
      </c>
      <c r="F671">
        <v>2100</v>
      </c>
      <c r="G671">
        <v>4</v>
      </c>
      <c r="H671">
        <v>3</v>
      </c>
      <c r="I671" t="s">
        <v>72</v>
      </c>
      <c r="J671">
        <v>1</v>
      </c>
      <c r="K671">
        <v>170</v>
      </c>
    </row>
    <row r="672" spans="1:11" x14ac:dyDescent="0.35">
      <c r="A672" t="s">
        <v>845</v>
      </c>
      <c r="B672" s="4" t="s">
        <v>841</v>
      </c>
      <c r="C672">
        <v>20</v>
      </c>
      <c r="D672" t="s">
        <v>71</v>
      </c>
      <c r="E672" s="7">
        <v>27</v>
      </c>
      <c r="F672">
        <v>1350</v>
      </c>
      <c r="G672">
        <v>4</v>
      </c>
      <c r="H672">
        <v>3</v>
      </c>
      <c r="I672" t="s">
        <v>72</v>
      </c>
      <c r="J672">
        <v>1</v>
      </c>
      <c r="K672">
        <v>169</v>
      </c>
    </row>
    <row r="673" spans="1:11" x14ac:dyDescent="0.35">
      <c r="A673" t="s">
        <v>846</v>
      </c>
      <c r="B673" s="4" t="s">
        <v>841</v>
      </c>
      <c r="C673">
        <v>11</v>
      </c>
      <c r="D673" t="s">
        <v>45</v>
      </c>
      <c r="E673" s="7">
        <v>-5</v>
      </c>
      <c r="F673">
        <v>-250</v>
      </c>
      <c r="G673">
        <v>1</v>
      </c>
      <c r="I673" t="s">
        <v>46</v>
      </c>
      <c r="J673">
        <v>1</v>
      </c>
      <c r="K673">
        <v>39</v>
      </c>
    </row>
    <row r="674" spans="1:11" x14ac:dyDescent="0.35">
      <c r="A674" t="s">
        <v>847</v>
      </c>
      <c r="B674" s="4" t="s">
        <v>841</v>
      </c>
      <c r="C674">
        <v>11</v>
      </c>
      <c r="D674" t="s">
        <v>45</v>
      </c>
      <c r="E674" s="7">
        <v>-4</v>
      </c>
      <c r="F674">
        <v>-200</v>
      </c>
      <c r="G674">
        <v>2</v>
      </c>
      <c r="I674" t="s">
        <v>46</v>
      </c>
      <c r="J674">
        <v>1</v>
      </c>
      <c r="K674">
        <v>35</v>
      </c>
    </row>
    <row r="675" spans="1:11" x14ac:dyDescent="0.35">
      <c r="A675" t="s">
        <v>848</v>
      </c>
      <c r="B675" s="4" t="s">
        <v>841</v>
      </c>
      <c r="C675">
        <v>5</v>
      </c>
      <c r="D675" t="s">
        <v>45</v>
      </c>
      <c r="E675" s="7">
        <v>-3</v>
      </c>
      <c r="F675">
        <v>-150</v>
      </c>
      <c r="G675">
        <v>3</v>
      </c>
      <c r="I675" t="s">
        <v>46</v>
      </c>
      <c r="J675">
        <v>1</v>
      </c>
      <c r="K675">
        <v>0</v>
      </c>
    </row>
    <row r="676" spans="1:11" x14ac:dyDescent="0.35">
      <c r="A676" t="s">
        <v>849</v>
      </c>
      <c r="B676" s="4" t="s">
        <v>841</v>
      </c>
      <c r="C676">
        <v>11</v>
      </c>
      <c r="D676" t="s">
        <v>45</v>
      </c>
      <c r="E676" s="7">
        <v>-3</v>
      </c>
      <c r="F676">
        <v>-150</v>
      </c>
      <c r="G676">
        <v>3</v>
      </c>
      <c r="I676" t="s">
        <v>46</v>
      </c>
      <c r="J676">
        <v>1</v>
      </c>
      <c r="K676">
        <v>32</v>
      </c>
    </row>
    <row r="677" spans="1:11" x14ac:dyDescent="0.35">
      <c r="A677" t="s">
        <v>850</v>
      </c>
      <c r="B677" s="4" t="s">
        <v>851</v>
      </c>
      <c r="C677">
        <v>11</v>
      </c>
      <c r="D677" t="s">
        <v>45</v>
      </c>
      <c r="E677" s="7">
        <v>-4</v>
      </c>
      <c r="F677">
        <v>-200</v>
      </c>
      <c r="G677">
        <v>1</v>
      </c>
      <c r="I677" t="s">
        <v>46</v>
      </c>
      <c r="J677">
        <v>1</v>
      </c>
      <c r="K677">
        <v>28</v>
      </c>
    </row>
    <row r="678" spans="1:11" x14ac:dyDescent="0.35">
      <c r="A678" t="s">
        <v>852</v>
      </c>
      <c r="B678" s="4" t="s">
        <v>851</v>
      </c>
      <c r="C678">
        <v>11</v>
      </c>
      <c r="D678" t="s">
        <v>45</v>
      </c>
      <c r="E678" s="7">
        <v>-5</v>
      </c>
      <c r="F678">
        <v>-250</v>
      </c>
      <c r="G678">
        <v>2</v>
      </c>
      <c r="I678" t="s">
        <v>46</v>
      </c>
      <c r="J678">
        <v>1</v>
      </c>
      <c r="K678">
        <v>23</v>
      </c>
    </row>
    <row r="679" spans="1:11" x14ac:dyDescent="0.35">
      <c r="A679" t="s">
        <v>853</v>
      </c>
      <c r="B679" s="4" t="s">
        <v>851</v>
      </c>
      <c r="C679">
        <v>11</v>
      </c>
      <c r="D679" t="s">
        <v>45</v>
      </c>
      <c r="E679" s="7">
        <v>-7</v>
      </c>
      <c r="F679">
        <v>-350</v>
      </c>
      <c r="G679">
        <v>3</v>
      </c>
      <c r="I679" t="s">
        <v>46</v>
      </c>
      <c r="J679">
        <v>1</v>
      </c>
      <c r="K679">
        <v>16</v>
      </c>
    </row>
    <row r="680" spans="1:11" x14ac:dyDescent="0.35">
      <c r="A680" t="s">
        <v>854</v>
      </c>
      <c r="B680" s="4" t="s">
        <v>855</v>
      </c>
      <c r="C680">
        <v>11</v>
      </c>
      <c r="D680" t="s">
        <v>45</v>
      </c>
      <c r="E680" s="7">
        <v>-6</v>
      </c>
      <c r="F680">
        <v>-300</v>
      </c>
      <c r="G680">
        <v>1</v>
      </c>
      <c r="I680" t="s">
        <v>46</v>
      </c>
      <c r="J680">
        <v>1</v>
      </c>
      <c r="K680">
        <v>10</v>
      </c>
    </row>
    <row r="681" spans="1:11" x14ac:dyDescent="0.35">
      <c r="A681" t="s">
        <v>856</v>
      </c>
      <c r="B681" s="4" t="s">
        <v>855</v>
      </c>
      <c r="C681">
        <v>11</v>
      </c>
      <c r="D681" t="s">
        <v>45</v>
      </c>
      <c r="E681" s="7">
        <v>-3</v>
      </c>
      <c r="F681">
        <v>-150</v>
      </c>
      <c r="G681">
        <v>2</v>
      </c>
      <c r="I681" t="s">
        <v>46</v>
      </c>
      <c r="J681">
        <v>1</v>
      </c>
      <c r="K681">
        <v>7</v>
      </c>
    </row>
    <row r="682" spans="1:11" x14ac:dyDescent="0.35">
      <c r="A682" t="s">
        <v>857</v>
      </c>
      <c r="B682" s="4" t="s">
        <v>858</v>
      </c>
      <c r="C682">
        <v>11</v>
      </c>
      <c r="D682" t="s">
        <v>45</v>
      </c>
      <c r="E682" s="7">
        <v>-6</v>
      </c>
      <c r="F682">
        <v>-300</v>
      </c>
      <c r="G682">
        <v>2</v>
      </c>
      <c r="I682" t="s">
        <v>46</v>
      </c>
      <c r="J682">
        <v>1</v>
      </c>
      <c r="K682">
        <v>1</v>
      </c>
    </row>
    <row r="683" spans="1:11" x14ac:dyDescent="0.35">
      <c r="A683" t="s">
        <v>859</v>
      </c>
      <c r="B683" s="4" t="s">
        <v>860</v>
      </c>
      <c r="C683">
        <v>2</v>
      </c>
      <c r="D683" t="s">
        <v>71</v>
      </c>
      <c r="E683" s="7">
        <v>53</v>
      </c>
      <c r="F683">
        <v>2650</v>
      </c>
      <c r="G683">
        <v>4</v>
      </c>
      <c r="H683">
        <v>1</v>
      </c>
      <c r="I683" t="s">
        <v>72</v>
      </c>
      <c r="J683">
        <v>1</v>
      </c>
      <c r="K683">
        <v>205</v>
      </c>
    </row>
    <row r="684" spans="1:11" x14ac:dyDescent="0.35">
      <c r="A684" t="s">
        <v>861</v>
      </c>
      <c r="B684" s="4" t="s">
        <v>860</v>
      </c>
      <c r="C684">
        <v>11</v>
      </c>
      <c r="D684" t="s">
        <v>71</v>
      </c>
      <c r="E684" s="7">
        <v>34</v>
      </c>
      <c r="F684">
        <v>1700</v>
      </c>
      <c r="G684">
        <v>4</v>
      </c>
      <c r="H684">
        <v>4</v>
      </c>
      <c r="I684" t="s">
        <v>72</v>
      </c>
      <c r="J684">
        <v>1</v>
      </c>
      <c r="K684">
        <v>35</v>
      </c>
    </row>
    <row r="685" spans="1:11" x14ac:dyDescent="0.35">
      <c r="A685" t="s">
        <v>862</v>
      </c>
      <c r="B685" s="4" t="s">
        <v>860</v>
      </c>
      <c r="C685">
        <v>1</v>
      </c>
      <c r="D685" t="s">
        <v>71</v>
      </c>
      <c r="E685" s="7">
        <v>45</v>
      </c>
      <c r="F685">
        <v>2250</v>
      </c>
      <c r="G685">
        <v>4</v>
      </c>
      <c r="H685">
        <v>1</v>
      </c>
      <c r="I685" t="s">
        <v>72</v>
      </c>
      <c r="J685">
        <v>1</v>
      </c>
      <c r="K685">
        <v>45</v>
      </c>
    </row>
    <row r="686" spans="1:11" x14ac:dyDescent="0.35">
      <c r="A686" t="s">
        <v>863</v>
      </c>
      <c r="B686" s="4" t="s">
        <v>860</v>
      </c>
      <c r="C686">
        <v>14</v>
      </c>
      <c r="D686" t="s">
        <v>71</v>
      </c>
      <c r="E686" s="7">
        <v>29</v>
      </c>
      <c r="F686">
        <v>1450</v>
      </c>
      <c r="G686">
        <v>4</v>
      </c>
      <c r="H686">
        <v>3</v>
      </c>
      <c r="I686" t="s">
        <v>72</v>
      </c>
      <c r="J686">
        <v>1</v>
      </c>
      <c r="K686">
        <v>175</v>
      </c>
    </row>
    <row r="687" spans="1:11" x14ac:dyDescent="0.35">
      <c r="A687" t="s">
        <v>864</v>
      </c>
      <c r="B687" s="4" t="s">
        <v>860</v>
      </c>
      <c r="C687">
        <v>11</v>
      </c>
      <c r="D687" t="s">
        <v>45</v>
      </c>
      <c r="E687" s="7">
        <v>-3</v>
      </c>
      <c r="F687">
        <v>-150</v>
      </c>
      <c r="G687">
        <v>1</v>
      </c>
      <c r="I687" t="s">
        <v>46</v>
      </c>
      <c r="J687">
        <v>1</v>
      </c>
      <c r="K687">
        <v>32</v>
      </c>
    </row>
    <row r="688" spans="1:11" x14ac:dyDescent="0.35">
      <c r="A688" t="s">
        <v>865</v>
      </c>
      <c r="B688" s="4" t="s">
        <v>860</v>
      </c>
      <c r="C688">
        <v>11</v>
      </c>
      <c r="D688" t="s">
        <v>45</v>
      </c>
      <c r="E688" s="7">
        <v>-6</v>
      </c>
      <c r="F688">
        <v>-300</v>
      </c>
      <c r="G688">
        <v>2</v>
      </c>
      <c r="I688" t="s">
        <v>46</v>
      </c>
      <c r="J688">
        <v>1</v>
      </c>
      <c r="K688">
        <v>26</v>
      </c>
    </row>
    <row r="689" spans="1:11" x14ac:dyDescent="0.35">
      <c r="A689" t="s">
        <v>866</v>
      </c>
      <c r="B689" s="4" t="s">
        <v>860</v>
      </c>
      <c r="C689">
        <v>11</v>
      </c>
      <c r="D689" t="s">
        <v>45</v>
      </c>
      <c r="E689" s="7">
        <v>-3</v>
      </c>
      <c r="F689">
        <v>-150</v>
      </c>
      <c r="G689">
        <v>3</v>
      </c>
      <c r="I689" t="s">
        <v>46</v>
      </c>
      <c r="J689">
        <v>1</v>
      </c>
      <c r="K689">
        <v>23</v>
      </c>
    </row>
    <row r="690" spans="1:11" x14ac:dyDescent="0.35">
      <c r="A690" t="s">
        <v>867</v>
      </c>
      <c r="B690" s="4" t="s">
        <v>868</v>
      </c>
      <c r="C690">
        <v>11</v>
      </c>
      <c r="D690" t="s">
        <v>45</v>
      </c>
      <c r="E690" s="7">
        <v>-7</v>
      </c>
      <c r="F690">
        <v>-350</v>
      </c>
      <c r="G690">
        <v>1</v>
      </c>
      <c r="I690" t="s">
        <v>46</v>
      </c>
      <c r="J690">
        <v>1</v>
      </c>
      <c r="K690">
        <v>16</v>
      </c>
    </row>
    <row r="691" spans="1:11" x14ac:dyDescent="0.35">
      <c r="A691" t="s">
        <v>869</v>
      </c>
      <c r="B691" s="4" t="s">
        <v>868</v>
      </c>
      <c r="C691">
        <v>1</v>
      </c>
      <c r="D691" t="s">
        <v>45</v>
      </c>
      <c r="E691" s="7">
        <v>-3</v>
      </c>
      <c r="F691">
        <v>-75</v>
      </c>
      <c r="G691">
        <v>3</v>
      </c>
      <c r="I691" t="s">
        <v>62</v>
      </c>
      <c r="J691">
        <v>1</v>
      </c>
      <c r="K691">
        <v>42</v>
      </c>
    </row>
    <row r="692" spans="1:11" x14ac:dyDescent="0.35">
      <c r="A692" t="s">
        <v>870</v>
      </c>
      <c r="B692" s="4" t="s">
        <v>868</v>
      </c>
      <c r="C692">
        <v>11</v>
      </c>
      <c r="D692" t="s">
        <v>45</v>
      </c>
      <c r="E692" s="7">
        <v>-4</v>
      </c>
      <c r="F692">
        <v>-200</v>
      </c>
      <c r="G692">
        <v>3</v>
      </c>
      <c r="I692" t="s">
        <v>46</v>
      </c>
      <c r="J692">
        <v>1</v>
      </c>
      <c r="K692">
        <v>12</v>
      </c>
    </row>
    <row r="693" spans="1:11" x14ac:dyDescent="0.35">
      <c r="A693" t="s">
        <v>871</v>
      </c>
      <c r="B693" s="4" t="s">
        <v>872</v>
      </c>
      <c r="C693">
        <v>1</v>
      </c>
      <c r="D693" t="s">
        <v>45</v>
      </c>
      <c r="E693" s="7">
        <v>-3</v>
      </c>
      <c r="F693">
        <v>-75</v>
      </c>
      <c r="G693">
        <v>1</v>
      </c>
      <c r="I693" t="s">
        <v>46</v>
      </c>
      <c r="J693">
        <v>1</v>
      </c>
      <c r="K693">
        <v>39</v>
      </c>
    </row>
    <row r="694" spans="1:11" x14ac:dyDescent="0.35">
      <c r="A694" t="s">
        <v>873</v>
      </c>
      <c r="B694" s="4" t="s">
        <v>872</v>
      </c>
      <c r="C694">
        <v>11</v>
      </c>
      <c r="D694" t="s">
        <v>45</v>
      </c>
      <c r="E694" s="7">
        <v>-5</v>
      </c>
      <c r="F694">
        <v>-250</v>
      </c>
      <c r="G694">
        <v>1</v>
      </c>
      <c r="I694" t="s">
        <v>46</v>
      </c>
      <c r="J694">
        <v>1</v>
      </c>
      <c r="K694">
        <v>7</v>
      </c>
    </row>
    <row r="695" spans="1:11" x14ac:dyDescent="0.35">
      <c r="A695" t="s">
        <v>874</v>
      </c>
      <c r="B695" s="4" t="s">
        <v>872</v>
      </c>
      <c r="C695">
        <v>11</v>
      </c>
      <c r="D695" t="s">
        <v>45</v>
      </c>
      <c r="E695" s="7">
        <v>-5</v>
      </c>
      <c r="F695">
        <v>-250</v>
      </c>
      <c r="G695">
        <v>2</v>
      </c>
      <c r="I695" t="s">
        <v>46</v>
      </c>
      <c r="J695">
        <v>1</v>
      </c>
      <c r="K695">
        <v>2</v>
      </c>
    </row>
    <row r="696" spans="1:11" x14ac:dyDescent="0.35">
      <c r="A696" t="s">
        <v>875</v>
      </c>
      <c r="B696" s="4" t="s">
        <v>876</v>
      </c>
      <c r="C696">
        <v>1</v>
      </c>
      <c r="D696" t="s">
        <v>45</v>
      </c>
      <c r="E696" s="7">
        <v>-3</v>
      </c>
      <c r="F696">
        <v>-75</v>
      </c>
      <c r="G696">
        <v>1</v>
      </c>
      <c r="I696" t="s">
        <v>46</v>
      </c>
      <c r="J696">
        <v>1</v>
      </c>
      <c r="K696">
        <v>36</v>
      </c>
    </row>
    <row r="697" spans="1:11" x14ac:dyDescent="0.35">
      <c r="A697" t="s">
        <v>877</v>
      </c>
      <c r="B697" s="4" t="s">
        <v>878</v>
      </c>
      <c r="C697">
        <v>1</v>
      </c>
      <c r="D697" t="s">
        <v>45</v>
      </c>
      <c r="E697" s="7">
        <v>-4</v>
      </c>
      <c r="F697">
        <v>-100</v>
      </c>
      <c r="G697">
        <v>1</v>
      </c>
      <c r="I697" t="s">
        <v>46</v>
      </c>
      <c r="J697">
        <v>1</v>
      </c>
      <c r="K697">
        <v>32</v>
      </c>
    </row>
    <row r="698" spans="1:11" x14ac:dyDescent="0.35">
      <c r="A698" t="s">
        <v>879</v>
      </c>
      <c r="B698" s="4" t="s">
        <v>878</v>
      </c>
      <c r="C698">
        <v>1</v>
      </c>
      <c r="D698" t="s">
        <v>45</v>
      </c>
      <c r="E698" s="7">
        <v>-2</v>
      </c>
      <c r="F698">
        <v>-50</v>
      </c>
      <c r="G698">
        <v>2</v>
      </c>
      <c r="I698" t="s">
        <v>54</v>
      </c>
      <c r="J698">
        <v>1</v>
      </c>
      <c r="K698">
        <v>30</v>
      </c>
    </row>
    <row r="699" spans="1:11" x14ac:dyDescent="0.35">
      <c r="A699" t="s">
        <v>880</v>
      </c>
      <c r="B699" s="4" t="s">
        <v>881</v>
      </c>
      <c r="C699">
        <v>1</v>
      </c>
      <c r="D699" t="s">
        <v>45</v>
      </c>
      <c r="E699" s="7">
        <v>-1</v>
      </c>
      <c r="F699">
        <v>-25</v>
      </c>
      <c r="G699">
        <v>2</v>
      </c>
      <c r="I699" t="s">
        <v>54</v>
      </c>
      <c r="J699">
        <v>1</v>
      </c>
      <c r="K699">
        <v>29</v>
      </c>
    </row>
    <row r="700" spans="1:11" x14ac:dyDescent="0.35">
      <c r="A700" t="s">
        <v>882</v>
      </c>
      <c r="B700" s="4" t="s">
        <v>881</v>
      </c>
      <c r="C700">
        <v>1</v>
      </c>
      <c r="D700" t="s">
        <v>45</v>
      </c>
      <c r="E700" s="7">
        <v>-2</v>
      </c>
      <c r="F700">
        <v>-50</v>
      </c>
      <c r="G700">
        <v>3</v>
      </c>
      <c r="I700" t="s">
        <v>62</v>
      </c>
      <c r="J700">
        <v>1</v>
      </c>
      <c r="K700">
        <v>27</v>
      </c>
    </row>
    <row r="701" spans="1:11" x14ac:dyDescent="0.35">
      <c r="A701" t="s">
        <v>883</v>
      </c>
      <c r="B701" s="4" t="s">
        <v>884</v>
      </c>
      <c r="C701">
        <v>1</v>
      </c>
      <c r="D701" t="s">
        <v>45</v>
      </c>
      <c r="E701" s="7">
        <v>-1</v>
      </c>
      <c r="F701">
        <v>-25</v>
      </c>
      <c r="G701">
        <v>3</v>
      </c>
      <c r="I701" t="s">
        <v>62</v>
      </c>
      <c r="J701">
        <v>1</v>
      </c>
      <c r="K701">
        <v>26</v>
      </c>
    </row>
    <row r="702" spans="1:11" x14ac:dyDescent="0.35">
      <c r="A702" t="s">
        <v>885</v>
      </c>
      <c r="B702" s="4" t="s">
        <v>886</v>
      </c>
      <c r="C702">
        <v>1</v>
      </c>
      <c r="D702" t="s">
        <v>45</v>
      </c>
      <c r="E702" s="7">
        <v>-5</v>
      </c>
      <c r="F702">
        <v>-125</v>
      </c>
      <c r="G702">
        <v>3</v>
      </c>
      <c r="I702" t="s">
        <v>62</v>
      </c>
      <c r="J702">
        <v>1</v>
      </c>
      <c r="K702">
        <v>21</v>
      </c>
    </row>
    <row r="703" spans="1:11" x14ac:dyDescent="0.35">
      <c r="A703" t="s">
        <v>887</v>
      </c>
      <c r="B703" s="4" t="s">
        <v>888</v>
      </c>
      <c r="C703">
        <v>22</v>
      </c>
      <c r="D703" t="s">
        <v>71</v>
      </c>
      <c r="E703" s="7">
        <v>34</v>
      </c>
      <c r="F703">
        <v>1700</v>
      </c>
      <c r="G703">
        <v>4</v>
      </c>
      <c r="H703">
        <v>3</v>
      </c>
      <c r="I703" t="s">
        <v>72</v>
      </c>
      <c r="J703">
        <v>1</v>
      </c>
      <c r="K703">
        <v>398</v>
      </c>
    </row>
    <row r="704" spans="1:11" x14ac:dyDescent="0.35">
      <c r="A704" t="s">
        <v>889</v>
      </c>
      <c r="B704" s="4" t="s">
        <v>888</v>
      </c>
      <c r="C704">
        <v>5</v>
      </c>
      <c r="D704" t="s">
        <v>71</v>
      </c>
      <c r="E704" s="7">
        <v>48</v>
      </c>
      <c r="F704">
        <v>2400</v>
      </c>
      <c r="G704">
        <v>4</v>
      </c>
      <c r="H704">
        <v>3</v>
      </c>
      <c r="I704" t="s">
        <v>72</v>
      </c>
      <c r="J704">
        <v>1</v>
      </c>
      <c r="K704">
        <v>48</v>
      </c>
    </row>
    <row r="705" spans="1:11" x14ac:dyDescent="0.35">
      <c r="A705" t="s">
        <v>890</v>
      </c>
      <c r="B705" s="4" t="s">
        <v>888</v>
      </c>
      <c r="C705">
        <v>5</v>
      </c>
      <c r="D705" t="s">
        <v>45</v>
      </c>
      <c r="E705" s="7">
        <v>-4</v>
      </c>
      <c r="F705">
        <v>-200</v>
      </c>
      <c r="G705">
        <v>1</v>
      </c>
      <c r="I705" t="s">
        <v>46</v>
      </c>
      <c r="J705">
        <v>1</v>
      </c>
      <c r="K705">
        <v>44</v>
      </c>
    </row>
    <row r="706" spans="1:11" x14ac:dyDescent="0.35">
      <c r="A706" t="s">
        <v>891</v>
      </c>
      <c r="B706" s="4" t="s">
        <v>888</v>
      </c>
      <c r="C706">
        <v>1</v>
      </c>
      <c r="D706" t="s">
        <v>45</v>
      </c>
      <c r="E706" s="7">
        <v>-3</v>
      </c>
      <c r="F706">
        <v>-75</v>
      </c>
      <c r="G706">
        <v>2</v>
      </c>
      <c r="I706" t="s">
        <v>54</v>
      </c>
      <c r="J706">
        <v>1</v>
      </c>
      <c r="K706">
        <v>18</v>
      </c>
    </row>
    <row r="707" spans="1:11" x14ac:dyDescent="0.35">
      <c r="A707" t="s">
        <v>892</v>
      </c>
      <c r="B707" s="4" t="s">
        <v>888</v>
      </c>
      <c r="C707">
        <v>5</v>
      </c>
      <c r="D707" t="s">
        <v>45</v>
      </c>
      <c r="E707" s="7">
        <v>-4</v>
      </c>
      <c r="F707">
        <v>-200</v>
      </c>
      <c r="G707">
        <v>2</v>
      </c>
      <c r="I707" t="s">
        <v>46</v>
      </c>
      <c r="J707">
        <v>1</v>
      </c>
      <c r="K707">
        <v>40</v>
      </c>
    </row>
    <row r="708" spans="1:11" x14ac:dyDescent="0.35">
      <c r="A708" t="s">
        <v>893</v>
      </c>
      <c r="B708" s="4" t="s">
        <v>888</v>
      </c>
      <c r="C708">
        <v>1</v>
      </c>
      <c r="D708" t="s">
        <v>45</v>
      </c>
      <c r="E708" s="7">
        <v>-5</v>
      </c>
      <c r="F708">
        <v>-125</v>
      </c>
      <c r="G708">
        <v>3</v>
      </c>
      <c r="I708" t="s">
        <v>62</v>
      </c>
      <c r="J708">
        <v>1</v>
      </c>
      <c r="K708">
        <v>13</v>
      </c>
    </row>
    <row r="709" spans="1:11" x14ac:dyDescent="0.35">
      <c r="A709" t="s">
        <v>894</v>
      </c>
      <c r="B709" s="4" t="s">
        <v>888</v>
      </c>
      <c r="C709">
        <v>5</v>
      </c>
      <c r="D709" t="s">
        <v>45</v>
      </c>
      <c r="E709" s="7">
        <v>-6</v>
      </c>
      <c r="F709">
        <v>-300</v>
      </c>
      <c r="G709">
        <v>3</v>
      </c>
      <c r="I709" t="s">
        <v>46</v>
      </c>
      <c r="J709">
        <v>1</v>
      </c>
      <c r="K709">
        <v>34</v>
      </c>
    </row>
    <row r="710" spans="1:11" x14ac:dyDescent="0.35">
      <c r="A710" t="s">
        <v>895</v>
      </c>
      <c r="B710" s="4" t="s">
        <v>896</v>
      </c>
      <c r="C710">
        <v>20</v>
      </c>
      <c r="D710" t="s">
        <v>71</v>
      </c>
      <c r="E710" s="7">
        <v>24</v>
      </c>
      <c r="F710">
        <v>1200</v>
      </c>
      <c r="G710">
        <v>4</v>
      </c>
      <c r="H710">
        <v>3</v>
      </c>
      <c r="I710" t="s">
        <v>72</v>
      </c>
      <c r="J710">
        <v>1</v>
      </c>
      <c r="K710">
        <v>193</v>
      </c>
    </row>
    <row r="711" spans="1:11" x14ac:dyDescent="0.35">
      <c r="A711" t="s">
        <v>897</v>
      </c>
      <c r="B711" s="4" t="s">
        <v>896</v>
      </c>
      <c r="C711">
        <v>14</v>
      </c>
      <c r="D711" t="s">
        <v>71</v>
      </c>
      <c r="E711" s="7">
        <v>28</v>
      </c>
      <c r="F711">
        <v>1400</v>
      </c>
      <c r="G711">
        <v>4</v>
      </c>
      <c r="H711">
        <v>3</v>
      </c>
      <c r="I711" t="s">
        <v>72</v>
      </c>
      <c r="J711">
        <v>1</v>
      </c>
      <c r="K711">
        <v>203</v>
      </c>
    </row>
    <row r="712" spans="1:11" x14ac:dyDescent="0.35">
      <c r="A712" t="s">
        <v>898</v>
      </c>
      <c r="B712" s="4" t="s">
        <v>896</v>
      </c>
      <c r="C712">
        <v>15</v>
      </c>
      <c r="D712" t="s">
        <v>71</v>
      </c>
      <c r="E712" s="7">
        <v>39</v>
      </c>
      <c r="F712">
        <v>1950</v>
      </c>
      <c r="G712">
        <v>4</v>
      </c>
      <c r="H712">
        <v>1</v>
      </c>
      <c r="I712" t="s">
        <v>72</v>
      </c>
      <c r="J712">
        <v>1</v>
      </c>
      <c r="K712">
        <v>319</v>
      </c>
    </row>
    <row r="713" spans="1:11" x14ac:dyDescent="0.35">
      <c r="A713" t="s">
        <v>899</v>
      </c>
      <c r="B713" s="4" t="s">
        <v>896</v>
      </c>
      <c r="C713">
        <v>5</v>
      </c>
      <c r="D713" t="s">
        <v>45</v>
      </c>
      <c r="E713" s="7">
        <v>-4</v>
      </c>
      <c r="F713">
        <v>-200</v>
      </c>
      <c r="G713">
        <v>1</v>
      </c>
      <c r="I713" t="s">
        <v>46</v>
      </c>
      <c r="J713">
        <v>1</v>
      </c>
      <c r="K713">
        <v>30</v>
      </c>
    </row>
    <row r="714" spans="1:11" x14ac:dyDescent="0.35">
      <c r="A714" t="s">
        <v>900</v>
      </c>
      <c r="B714" s="4" t="s">
        <v>896</v>
      </c>
      <c r="C714">
        <v>1</v>
      </c>
      <c r="D714" t="s">
        <v>45</v>
      </c>
      <c r="E714" s="7">
        <v>-2</v>
      </c>
      <c r="F714">
        <v>-50</v>
      </c>
      <c r="G714">
        <v>2</v>
      </c>
      <c r="I714" t="s">
        <v>54</v>
      </c>
      <c r="J714">
        <v>1</v>
      </c>
      <c r="K714">
        <v>11</v>
      </c>
    </row>
    <row r="715" spans="1:11" x14ac:dyDescent="0.35">
      <c r="A715" t="s">
        <v>901</v>
      </c>
      <c r="B715" s="4" t="s">
        <v>896</v>
      </c>
      <c r="C715">
        <v>5</v>
      </c>
      <c r="D715" t="s">
        <v>45</v>
      </c>
      <c r="E715" s="7">
        <v>-7</v>
      </c>
      <c r="F715">
        <v>-350</v>
      </c>
      <c r="G715">
        <v>2</v>
      </c>
      <c r="I715" t="s">
        <v>46</v>
      </c>
      <c r="J715">
        <v>1</v>
      </c>
      <c r="K715">
        <v>23</v>
      </c>
    </row>
    <row r="716" spans="1:11" x14ac:dyDescent="0.35">
      <c r="A716" t="s">
        <v>902</v>
      </c>
      <c r="B716" s="4" t="s">
        <v>896</v>
      </c>
      <c r="C716">
        <v>11</v>
      </c>
      <c r="D716" t="s">
        <v>45</v>
      </c>
      <c r="E716" s="7">
        <v>-2</v>
      </c>
      <c r="F716">
        <v>-100</v>
      </c>
      <c r="G716">
        <v>3</v>
      </c>
      <c r="I716" t="s">
        <v>46</v>
      </c>
      <c r="J716">
        <v>1</v>
      </c>
      <c r="K716">
        <v>0</v>
      </c>
    </row>
    <row r="717" spans="1:11" x14ac:dyDescent="0.35">
      <c r="A717" t="s">
        <v>903</v>
      </c>
      <c r="B717" s="4" t="s">
        <v>904</v>
      </c>
      <c r="C717">
        <v>1</v>
      </c>
      <c r="D717" t="s">
        <v>45</v>
      </c>
      <c r="E717" s="7">
        <v>-5</v>
      </c>
      <c r="F717">
        <v>-125</v>
      </c>
      <c r="G717">
        <v>1</v>
      </c>
      <c r="I717" t="s">
        <v>46</v>
      </c>
      <c r="J717">
        <v>1</v>
      </c>
      <c r="K717">
        <v>6</v>
      </c>
    </row>
    <row r="718" spans="1:11" x14ac:dyDescent="0.35">
      <c r="A718" t="s">
        <v>905</v>
      </c>
      <c r="B718" s="4" t="s">
        <v>904</v>
      </c>
      <c r="C718">
        <v>5</v>
      </c>
      <c r="D718" t="s">
        <v>45</v>
      </c>
      <c r="E718" s="7">
        <v>-5</v>
      </c>
      <c r="F718">
        <v>-250</v>
      </c>
      <c r="G718">
        <v>1</v>
      </c>
      <c r="I718" t="s">
        <v>46</v>
      </c>
      <c r="J718">
        <v>1</v>
      </c>
      <c r="K718">
        <v>18</v>
      </c>
    </row>
    <row r="719" spans="1:11" x14ac:dyDescent="0.35">
      <c r="A719" t="s">
        <v>906</v>
      </c>
      <c r="B719" s="4" t="s">
        <v>904</v>
      </c>
      <c r="C719">
        <v>5</v>
      </c>
      <c r="D719" t="s">
        <v>45</v>
      </c>
      <c r="E719" s="7">
        <v>-6</v>
      </c>
      <c r="F719">
        <v>-300</v>
      </c>
      <c r="G719">
        <v>2</v>
      </c>
      <c r="I719" t="s">
        <v>46</v>
      </c>
      <c r="J719">
        <v>1</v>
      </c>
      <c r="K719">
        <v>12</v>
      </c>
    </row>
    <row r="720" spans="1:11" x14ac:dyDescent="0.35">
      <c r="A720" t="s">
        <v>907</v>
      </c>
      <c r="B720" s="4" t="s">
        <v>904</v>
      </c>
      <c r="C720">
        <v>5</v>
      </c>
      <c r="D720" t="s">
        <v>45</v>
      </c>
      <c r="E720" s="7">
        <v>-5</v>
      </c>
      <c r="F720">
        <v>-250</v>
      </c>
      <c r="G720">
        <v>3</v>
      </c>
      <c r="I720" t="s">
        <v>46</v>
      </c>
      <c r="J720">
        <v>1</v>
      </c>
      <c r="K720">
        <v>7</v>
      </c>
    </row>
    <row r="721" spans="1:11" x14ac:dyDescent="0.35">
      <c r="A721" t="s">
        <v>908</v>
      </c>
      <c r="B721" s="4" t="s">
        <v>909</v>
      </c>
      <c r="C721">
        <v>1</v>
      </c>
      <c r="D721" t="s">
        <v>45</v>
      </c>
      <c r="E721" s="7">
        <v>-2</v>
      </c>
      <c r="F721">
        <v>-50</v>
      </c>
      <c r="G721">
        <v>1</v>
      </c>
      <c r="I721" t="s">
        <v>46</v>
      </c>
      <c r="J721">
        <v>1</v>
      </c>
      <c r="K721">
        <v>4</v>
      </c>
    </row>
    <row r="722" spans="1:11" x14ac:dyDescent="0.35">
      <c r="A722" t="s">
        <v>910</v>
      </c>
      <c r="B722" s="4" t="s">
        <v>909</v>
      </c>
      <c r="C722">
        <v>5</v>
      </c>
      <c r="D722" t="s">
        <v>45</v>
      </c>
      <c r="E722" s="7">
        <v>-4</v>
      </c>
      <c r="F722">
        <v>-200</v>
      </c>
      <c r="G722">
        <v>1</v>
      </c>
      <c r="I722" t="s">
        <v>46</v>
      </c>
      <c r="J722">
        <v>1</v>
      </c>
      <c r="K722">
        <v>3</v>
      </c>
    </row>
    <row r="723" spans="1:11" x14ac:dyDescent="0.35">
      <c r="A723" t="s">
        <v>911</v>
      </c>
      <c r="B723" s="4" t="s">
        <v>909</v>
      </c>
      <c r="C723">
        <v>1</v>
      </c>
      <c r="D723" t="s">
        <v>45</v>
      </c>
      <c r="E723" s="7">
        <v>-3</v>
      </c>
      <c r="F723">
        <v>-75</v>
      </c>
      <c r="G723">
        <v>3</v>
      </c>
      <c r="I723" t="s">
        <v>62</v>
      </c>
      <c r="J723">
        <v>1</v>
      </c>
      <c r="K723">
        <v>1</v>
      </c>
    </row>
    <row r="724" spans="1:11" x14ac:dyDescent="0.35">
      <c r="A724" t="s">
        <v>912</v>
      </c>
      <c r="B724" s="4" t="s">
        <v>913</v>
      </c>
      <c r="C724">
        <v>1</v>
      </c>
      <c r="D724" t="s">
        <v>45</v>
      </c>
      <c r="E724" s="7">
        <v>-1</v>
      </c>
      <c r="F724">
        <v>-25</v>
      </c>
      <c r="G724">
        <v>1</v>
      </c>
      <c r="I724" t="s">
        <v>46</v>
      </c>
      <c r="J724">
        <v>1</v>
      </c>
      <c r="K724">
        <v>0</v>
      </c>
    </row>
    <row r="725" spans="1:11" x14ac:dyDescent="0.35">
      <c r="A725" t="s">
        <v>914</v>
      </c>
      <c r="B725" s="4" t="s">
        <v>915</v>
      </c>
      <c r="C725">
        <v>5</v>
      </c>
      <c r="D725" t="s">
        <v>45</v>
      </c>
      <c r="E725" s="7">
        <v>-2</v>
      </c>
      <c r="F725">
        <v>-100</v>
      </c>
      <c r="G725">
        <v>2</v>
      </c>
      <c r="I725" t="s">
        <v>46</v>
      </c>
      <c r="J725">
        <v>1</v>
      </c>
      <c r="K725">
        <v>1</v>
      </c>
    </row>
    <row r="726" spans="1:11" x14ac:dyDescent="0.35">
      <c r="A726" t="s">
        <v>916</v>
      </c>
      <c r="B726" s="4" t="s">
        <v>917</v>
      </c>
      <c r="C726">
        <v>12</v>
      </c>
      <c r="D726" t="s">
        <v>71</v>
      </c>
      <c r="E726" s="7">
        <v>49</v>
      </c>
      <c r="F726">
        <v>2450</v>
      </c>
      <c r="G726">
        <v>4</v>
      </c>
      <c r="H726">
        <v>3</v>
      </c>
      <c r="I726" t="s">
        <v>72</v>
      </c>
      <c r="J726">
        <v>1</v>
      </c>
      <c r="K726">
        <v>50</v>
      </c>
    </row>
    <row r="727" spans="1:11" x14ac:dyDescent="0.35">
      <c r="A727" t="s">
        <v>918</v>
      </c>
      <c r="B727" s="4" t="s">
        <v>917</v>
      </c>
      <c r="C727">
        <v>25</v>
      </c>
      <c r="D727" t="s">
        <v>71</v>
      </c>
      <c r="E727" s="7">
        <v>46</v>
      </c>
      <c r="F727">
        <v>2300</v>
      </c>
      <c r="G727">
        <v>4</v>
      </c>
      <c r="H727">
        <v>4</v>
      </c>
      <c r="I727" t="s">
        <v>72</v>
      </c>
      <c r="J727">
        <v>1</v>
      </c>
      <c r="K727">
        <v>266</v>
      </c>
    </row>
    <row r="728" spans="1:11" x14ac:dyDescent="0.35">
      <c r="A728" t="s">
        <v>919</v>
      </c>
      <c r="B728" s="4" t="s">
        <v>917</v>
      </c>
      <c r="C728">
        <v>15</v>
      </c>
      <c r="D728" t="s">
        <v>71</v>
      </c>
      <c r="E728" s="7">
        <v>32</v>
      </c>
      <c r="F728">
        <v>1600</v>
      </c>
      <c r="G728">
        <v>4</v>
      </c>
      <c r="H728">
        <v>1</v>
      </c>
      <c r="I728" t="s">
        <v>72</v>
      </c>
      <c r="J728">
        <v>1</v>
      </c>
      <c r="K728">
        <v>351</v>
      </c>
    </row>
    <row r="729" spans="1:11" x14ac:dyDescent="0.35">
      <c r="A729" t="s">
        <v>920</v>
      </c>
      <c r="B729" s="4" t="s">
        <v>917</v>
      </c>
      <c r="C729">
        <v>24</v>
      </c>
      <c r="D729" t="s">
        <v>71</v>
      </c>
      <c r="E729" s="7">
        <v>21</v>
      </c>
      <c r="F729">
        <v>1050</v>
      </c>
      <c r="G729">
        <v>4</v>
      </c>
      <c r="H729">
        <v>3</v>
      </c>
      <c r="I729" t="s">
        <v>72</v>
      </c>
      <c r="J729">
        <v>1</v>
      </c>
      <c r="K729">
        <v>321</v>
      </c>
    </row>
    <row r="730" spans="1:11" x14ac:dyDescent="0.35">
      <c r="A730" t="s">
        <v>921</v>
      </c>
      <c r="B730" s="4" t="s">
        <v>922</v>
      </c>
      <c r="C730">
        <v>16</v>
      </c>
      <c r="D730" t="s">
        <v>71</v>
      </c>
      <c r="E730" s="7">
        <v>39</v>
      </c>
      <c r="F730">
        <v>1950</v>
      </c>
      <c r="G730">
        <v>4</v>
      </c>
      <c r="H730">
        <v>1</v>
      </c>
      <c r="I730" t="s">
        <v>72</v>
      </c>
      <c r="J730">
        <v>1</v>
      </c>
      <c r="K730">
        <v>234</v>
      </c>
    </row>
    <row r="731" spans="1:11" x14ac:dyDescent="0.35">
      <c r="A731" t="s">
        <v>923</v>
      </c>
      <c r="B731" s="4" t="s">
        <v>922</v>
      </c>
      <c r="C731">
        <v>28</v>
      </c>
      <c r="D731" t="s">
        <v>71</v>
      </c>
      <c r="E731" s="7">
        <v>31</v>
      </c>
      <c r="F731">
        <v>1550</v>
      </c>
      <c r="G731">
        <v>4</v>
      </c>
      <c r="H731">
        <v>2</v>
      </c>
      <c r="I731" t="s">
        <v>72</v>
      </c>
      <c r="J731">
        <v>1</v>
      </c>
      <c r="K731">
        <v>261</v>
      </c>
    </row>
    <row r="732" spans="1:11" x14ac:dyDescent="0.35">
      <c r="A732" t="s">
        <v>924</v>
      </c>
      <c r="B732" s="4" t="s">
        <v>922</v>
      </c>
      <c r="C732">
        <v>12</v>
      </c>
      <c r="D732" t="s">
        <v>45</v>
      </c>
      <c r="E732" s="7">
        <v>-6</v>
      </c>
      <c r="F732">
        <v>-300</v>
      </c>
      <c r="G732">
        <v>1</v>
      </c>
      <c r="I732" t="s">
        <v>46</v>
      </c>
      <c r="J732">
        <v>1</v>
      </c>
      <c r="K732">
        <v>44</v>
      </c>
    </row>
    <row r="733" spans="1:11" x14ac:dyDescent="0.35">
      <c r="A733" t="s">
        <v>925</v>
      </c>
      <c r="B733" s="4" t="s">
        <v>922</v>
      </c>
      <c r="C733">
        <v>12</v>
      </c>
      <c r="D733" t="s">
        <v>45</v>
      </c>
      <c r="E733" s="7">
        <v>-6</v>
      </c>
      <c r="F733">
        <v>-300</v>
      </c>
      <c r="G733">
        <v>2</v>
      </c>
      <c r="I733" t="s">
        <v>46</v>
      </c>
      <c r="J733">
        <v>1</v>
      </c>
      <c r="K733">
        <v>38</v>
      </c>
    </row>
    <row r="734" spans="1:11" x14ac:dyDescent="0.35">
      <c r="A734" t="s">
        <v>926</v>
      </c>
      <c r="B734" s="4" t="s">
        <v>922</v>
      </c>
      <c r="C734">
        <v>12</v>
      </c>
      <c r="D734" t="s">
        <v>45</v>
      </c>
      <c r="E734" s="7">
        <v>-6</v>
      </c>
      <c r="F734">
        <v>-300</v>
      </c>
      <c r="G734">
        <v>3</v>
      </c>
      <c r="I734" t="s">
        <v>46</v>
      </c>
      <c r="J734">
        <v>1</v>
      </c>
      <c r="K734">
        <v>32</v>
      </c>
    </row>
    <row r="735" spans="1:11" x14ac:dyDescent="0.35">
      <c r="A735" t="s">
        <v>927</v>
      </c>
      <c r="B735" s="4" t="s">
        <v>928</v>
      </c>
      <c r="C735">
        <v>12</v>
      </c>
      <c r="D735" t="s">
        <v>45</v>
      </c>
      <c r="E735" s="7">
        <v>-4</v>
      </c>
      <c r="F735">
        <v>-200</v>
      </c>
      <c r="G735">
        <v>1</v>
      </c>
      <c r="I735" t="s">
        <v>46</v>
      </c>
      <c r="J735">
        <v>1</v>
      </c>
      <c r="K735">
        <v>28</v>
      </c>
    </row>
    <row r="736" spans="1:11" x14ac:dyDescent="0.35">
      <c r="A736" t="s">
        <v>929</v>
      </c>
      <c r="B736" s="4" t="s">
        <v>928</v>
      </c>
      <c r="C736">
        <v>12</v>
      </c>
      <c r="D736" t="s">
        <v>45</v>
      </c>
      <c r="E736" s="7">
        <v>-4</v>
      </c>
      <c r="F736">
        <v>-200</v>
      </c>
      <c r="G736">
        <v>2</v>
      </c>
      <c r="I736" t="s">
        <v>46</v>
      </c>
      <c r="J736">
        <v>1</v>
      </c>
      <c r="K736">
        <v>24</v>
      </c>
    </row>
    <row r="737" spans="1:11" x14ac:dyDescent="0.35">
      <c r="A737" t="s">
        <v>930</v>
      </c>
      <c r="B737" s="4" t="s">
        <v>928</v>
      </c>
      <c r="C737">
        <v>12</v>
      </c>
      <c r="D737" t="s">
        <v>45</v>
      </c>
      <c r="E737" s="7">
        <v>-4</v>
      </c>
      <c r="F737">
        <v>-200</v>
      </c>
      <c r="G737">
        <v>3</v>
      </c>
      <c r="I737" t="s">
        <v>46</v>
      </c>
      <c r="J737">
        <v>1</v>
      </c>
      <c r="K737">
        <v>20</v>
      </c>
    </row>
    <row r="738" spans="1:11" x14ac:dyDescent="0.35">
      <c r="A738" t="s">
        <v>931</v>
      </c>
      <c r="B738" s="4" t="s">
        <v>932</v>
      </c>
      <c r="C738">
        <v>12</v>
      </c>
      <c r="D738" t="s">
        <v>45</v>
      </c>
      <c r="E738" s="7">
        <v>-5</v>
      </c>
      <c r="F738">
        <v>-250</v>
      </c>
      <c r="G738">
        <v>1</v>
      </c>
      <c r="I738" t="s">
        <v>46</v>
      </c>
      <c r="J738">
        <v>1</v>
      </c>
      <c r="K738">
        <v>15</v>
      </c>
    </row>
    <row r="739" spans="1:11" x14ac:dyDescent="0.35">
      <c r="A739" t="s">
        <v>933</v>
      </c>
      <c r="B739" s="4" t="s">
        <v>932</v>
      </c>
      <c r="C739">
        <v>12</v>
      </c>
      <c r="D739" t="s">
        <v>45</v>
      </c>
      <c r="E739" s="7">
        <v>-4</v>
      </c>
      <c r="F739">
        <v>-200</v>
      </c>
      <c r="G739">
        <v>3</v>
      </c>
      <c r="I739" t="s">
        <v>46</v>
      </c>
      <c r="J739">
        <v>1</v>
      </c>
      <c r="K739">
        <v>11</v>
      </c>
    </row>
    <row r="740" spans="1:11" x14ac:dyDescent="0.35">
      <c r="A740" t="s">
        <v>934</v>
      </c>
      <c r="B740" s="4" t="s">
        <v>935</v>
      </c>
      <c r="C740">
        <v>12</v>
      </c>
      <c r="D740" t="s">
        <v>45</v>
      </c>
      <c r="E740" s="7">
        <v>-5</v>
      </c>
      <c r="F740">
        <v>-250</v>
      </c>
      <c r="G740">
        <v>1</v>
      </c>
      <c r="I740" t="s">
        <v>46</v>
      </c>
      <c r="J740">
        <v>1</v>
      </c>
      <c r="K740">
        <v>6</v>
      </c>
    </row>
    <row r="741" spans="1:11" x14ac:dyDescent="0.35">
      <c r="A741" t="s">
        <v>936</v>
      </c>
      <c r="B741" s="4" t="s">
        <v>935</v>
      </c>
      <c r="C741">
        <v>12</v>
      </c>
      <c r="D741" t="s">
        <v>45</v>
      </c>
      <c r="E741" s="7">
        <v>-2</v>
      </c>
      <c r="F741">
        <v>-100</v>
      </c>
      <c r="G741">
        <v>2</v>
      </c>
      <c r="I741" t="s">
        <v>46</v>
      </c>
      <c r="J741">
        <v>1</v>
      </c>
      <c r="K741">
        <v>4</v>
      </c>
    </row>
    <row r="742" spans="1:11" x14ac:dyDescent="0.35">
      <c r="A742" t="s">
        <v>937</v>
      </c>
      <c r="B742" s="4" t="s">
        <v>935</v>
      </c>
      <c r="C742">
        <v>12</v>
      </c>
      <c r="D742" t="s">
        <v>45</v>
      </c>
      <c r="E742" s="7">
        <v>-3</v>
      </c>
      <c r="F742">
        <v>-150</v>
      </c>
      <c r="G742">
        <v>3</v>
      </c>
      <c r="I742" t="s">
        <v>46</v>
      </c>
      <c r="J742">
        <v>1</v>
      </c>
      <c r="K742">
        <v>1</v>
      </c>
    </row>
    <row r="743" spans="1:11" x14ac:dyDescent="0.35">
      <c r="A743" t="s">
        <v>938</v>
      </c>
      <c r="B743" s="4" t="s">
        <v>939</v>
      </c>
      <c r="C743">
        <v>4</v>
      </c>
      <c r="D743" t="s">
        <v>71</v>
      </c>
      <c r="E743" s="7">
        <v>20</v>
      </c>
      <c r="F743">
        <v>1000</v>
      </c>
      <c r="G743">
        <v>4</v>
      </c>
      <c r="H743">
        <v>3</v>
      </c>
      <c r="I743" t="s">
        <v>72</v>
      </c>
      <c r="J743">
        <v>1</v>
      </c>
      <c r="K743">
        <v>21</v>
      </c>
    </row>
    <row r="744" spans="1:11" x14ac:dyDescent="0.35">
      <c r="A744" t="s">
        <v>940</v>
      </c>
      <c r="B744" s="4" t="s">
        <v>939</v>
      </c>
      <c r="C744">
        <v>29</v>
      </c>
      <c r="D744" t="s">
        <v>71</v>
      </c>
      <c r="E744" s="7">
        <v>22</v>
      </c>
      <c r="F744">
        <v>1100</v>
      </c>
      <c r="G744">
        <v>4</v>
      </c>
      <c r="H744">
        <v>4</v>
      </c>
      <c r="I744" t="s">
        <v>72</v>
      </c>
      <c r="J744">
        <v>1</v>
      </c>
      <c r="K744">
        <v>298</v>
      </c>
    </row>
    <row r="745" spans="1:11" x14ac:dyDescent="0.35">
      <c r="A745" t="s">
        <v>941</v>
      </c>
      <c r="B745" s="4" t="s">
        <v>939</v>
      </c>
      <c r="C745">
        <v>12</v>
      </c>
      <c r="D745" t="s">
        <v>71</v>
      </c>
      <c r="E745" s="7">
        <v>25</v>
      </c>
      <c r="F745">
        <v>1250</v>
      </c>
      <c r="G745">
        <v>4</v>
      </c>
      <c r="H745">
        <v>3</v>
      </c>
      <c r="I745" t="s">
        <v>72</v>
      </c>
      <c r="J745">
        <v>1</v>
      </c>
      <c r="K745">
        <v>26</v>
      </c>
    </row>
    <row r="746" spans="1:11" x14ac:dyDescent="0.35">
      <c r="A746" t="s">
        <v>942</v>
      </c>
      <c r="B746" s="4" t="s">
        <v>939</v>
      </c>
      <c r="C746">
        <v>33</v>
      </c>
      <c r="D746" t="s">
        <v>71</v>
      </c>
      <c r="E746" s="7">
        <v>26</v>
      </c>
      <c r="F746">
        <v>1300</v>
      </c>
      <c r="G746">
        <v>4</v>
      </c>
      <c r="H746">
        <v>4</v>
      </c>
      <c r="I746" t="s">
        <v>72</v>
      </c>
      <c r="J746">
        <v>1</v>
      </c>
      <c r="K746">
        <v>378</v>
      </c>
    </row>
    <row r="747" spans="1:11" x14ac:dyDescent="0.35">
      <c r="A747" t="s">
        <v>943</v>
      </c>
      <c r="B747" s="4" t="s">
        <v>939</v>
      </c>
      <c r="C747">
        <v>12</v>
      </c>
      <c r="D747" t="s">
        <v>45</v>
      </c>
      <c r="E747" s="7">
        <v>-7</v>
      </c>
      <c r="F747">
        <v>-350</v>
      </c>
      <c r="G747">
        <v>1</v>
      </c>
      <c r="I747" t="s">
        <v>46</v>
      </c>
      <c r="J747">
        <v>1</v>
      </c>
      <c r="K747">
        <v>19</v>
      </c>
    </row>
    <row r="748" spans="1:11" x14ac:dyDescent="0.35">
      <c r="A748" t="s">
        <v>944</v>
      </c>
      <c r="B748" s="4" t="s">
        <v>939</v>
      </c>
      <c r="C748">
        <v>4</v>
      </c>
      <c r="D748" t="s">
        <v>45</v>
      </c>
      <c r="E748" s="7">
        <v>-6</v>
      </c>
      <c r="F748">
        <v>-300</v>
      </c>
      <c r="G748">
        <v>2</v>
      </c>
      <c r="I748" t="s">
        <v>46</v>
      </c>
      <c r="J748">
        <v>1</v>
      </c>
      <c r="K748">
        <v>15</v>
      </c>
    </row>
    <row r="749" spans="1:11" x14ac:dyDescent="0.35">
      <c r="A749" t="s">
        <v>945</v>
      </c>
      <c r="B749" s="4" t="s">
        <v>939</v>
      </c>
      <c r="C749">
        <v>12</v>
      </c>
      <c r="D749" t="s">
        <v>45</v>
      </c>
      <c r="E749" s="7">
        <v>-6</v>
      </c>
      <c r="F749">
        <v>-300</v>
      </c>
      <c r="G749">
        <v>2</v>
      </c>
      <c r="I749" t="s">
        <v>46</v>
      </c>
      <c r="J749">
        <v>1</v>
      </c>
      <c r="K749">
        <v>13</v>
      </c>
    </row>
    <row r="750" spans="1:11" x14ac:dyDescent="0.35">
      <c r="A750" t="s">
        <v>946</v>
      </c>
      <c r="B750" s="4" t="s">
        <v>939</v>
      </c>
      <c r="C750">
        <v>4</v>
      </c>
      <c r="D750" t="s">
        <v>45</v>
      </c>
      <c r="E750" s="7">
        <v>-5</v>
      </c>
      <c r="F750">
        <v>-250</v>
      </c>
      <c r="G750">
        <v>3</v>
      </c>
      <c r="I750" t="s">
        <v>46</v>
      </c>
      <c r="J750">
        <v>1</v>
      </c>
      <c r="K750">
        <v>10</v>
      </c>
    </row>
    <row r="751" spans="1:11" x14ac:dyDescent="0.35">
      <c r="A751" t="s">
        <v>947</v>
      </c>
      <c r="B751" s="4" t="s">
        <v>939</v>
      </c>
      <c r="C751">
        <v>12</v>
      </c>
      <c r="D751" t="s">
        <v>45</v>
      </c>
      <c r="E751" s="7">
        <v>-5</v>
      </c>
      <c r="F751">
        <v>-250</v>
      </c>
      <c r="G751">
        <v>3</v>
      </c>
      <c r="I751" t="s">
        <v>46</v>
      </c>
      <c r="J751">
        <v>1</v>
      </c>
      <c r="K751">
        <v>8</v>
      </c>
    </row>
    <row r="752" spans="1:11" x14ac:dyDescent="0.35">
      <c r="A752" t="s">
        <v>948</v>
      </c>
      <c r="B752" s="4" t="s">
        <v>949</v>
      </c>
      <c r="C752">
        <v>12</v>
      </c>
      <c r="D752" t="s">
        <v>45</v>
      </c>
      <c r="E752" s="7">
        <v>-7</v>
      </c>
      <c r="F752">
        <v>-350</v>
      </c>
      <c r="G752">
        <v>1</v>
      </c>
      <c r="I752" t="s">
        <v>46</v>
      </c>
      <c r="J752">
        <v>1</v>
      </c>
      <c r="K752">
        <v>1</v>
      </c>
    </row>
    <row r="753" spans="1:11" x14ac:dyDescent="0.35">
      <c r="A753" t="s">
        <v>950</v>
      </c>
      <c r="B753" s="4" t="s">
        <v>949</v>
      </c>
      <c r="C753">
        <v>4</v>
      </c>
      <c r="D753" t="s">
        <v>45</v>
      </c>
      <c r="E753" s="7">
        <v>-7</v>
      </c>
      <c r="F753">
        <v>-350</v>
      </c>
      <c r="G753">
        <v>2</v>
      </c>
      <c r="I753" t="s">
        <v>46</v>
      </c>
      <c r="J753">
        <v>1</v>
      </c>
      <c r="K753">
        <v>3</v>
      </c>
    </row>
    <row r="754" spans="1:11" x14ac:dyDescent="0.35">
      <c r="A754" t="s">
        <v>951</v>
      </c>
      <c r="B754" s="4" t="s">
        <v>952</v>
      </c>
      <c r="C754">
        <v>4</v>
      </c>
      <c r="D754" t="s">
        <v>45</v>
      </c>
      <c r="E754" s="7">
        <v>-3</v>
      </c>
      <c r="F754">
        <v>-150</v>
      </c>
      <c r="G754">
        <v>1</v>
      </c>
      <c r="I754" t="s">
        <v>46</v>
      </c>
      <c r="J754">
        <v>1</v>
      </c>
      <c r="K754">
        <v>0</v>
      </c>
    </row>
    <row r="755" spans="1:11" x14ac:dyDescent="0.35">
      <c r="A755" t="s">
        <v>953</v>
      </c>
      <c r="B755" s="4" t="s">
        <v>954</v>
      </c>
      <c r="C755">
        <v>17</v>
      </c>
      <c r="D755" t="s">
        <v>71</v>
      </c>
      <c r="E755" s="7">
        <v>23</v>
      </c>
      <c r="F755">
        <v>1150</v>
      </c>
      <c r="G755">
        <v>4</v>
      </c>
      <c r="H755">
        <v>2</v>
      </c>
      <c r="I755" t="s">
        <v>72</v>
      </c>
      <c r="J755">
        <v>1</v>
      </c>
      <c r="K755">
        <v>245</v>
      </c>
    </row>
    <row r="756" spans="1:11" x14ac:dyDescent="0.35">
      <c r="A756" t="s">
        <v>955</v>
      </c>
      <c r="B756" s="4" t="s">
        <v>954</v>
      </c>
      <c r="C756">
        <v>30</v>
      </c>
      <c r="D756" t="s">
        <v>71</v>
      </c>
      <c r="E756" s="7">
        <v>49</v>
      </c>
      <c r="F756">
        <v>2450</v>
      </c>
      <c r="G756">
        <v>4</v>
      </c>
      <c r="H756">
        <v>2</v>
      </c>
      <c r="I756" t="s">
        <v>72</v>
      </c>
      <c r="J756">
        <v>1</v>
      </c>
      <c r="K756">
        <v>388</v>
      </c>
    </row>
    <row r="757" spans="1:11" x14ac:dyDescent="0.35">
      <c r="A757" t="s">
        <v>956</v>
      </c>
      <c r="B757" s="4" t="s">
        <v>954</v>
      </c>
      <c r="C757">
        <v>14</v>
      </c>
      <c r="D757" t="s">
        <v>71</v>
      </c>
      <c r="E757" s="7">
        <v>40</v>
      </c>
      <c r="F757">
        <v>2000</v>
      </c>
      <c r="G757">
        <v>4</v>
      </c>
      <c r="H757">
        <v>3</v>
      </c>
      <c r="I757" t="s">
        <v>72</v>
      </c>
      <c r="J757">
        <v>1</v>
      </c>
      <c r="K757">
        <v>243</v>
      </c>
    </row>
    <row r="758" spans="1:11" x14ac:dyDescent="0.35">
      <c r="A758" t="s">
        <v>957</v>
      </c>
      <c r="B758" s="4" t="s">
        <v>958</v>
      </c>
      <c r="C758">
        <v>32</v>
      </c>
      <c r="D758" t="s">
        <v>71</v>
      </c>
      <c r="E758" s="7">
        <v>30</v>
      </c>
      <c r="F758">
        <v>1500</v>
      </c>
      <c r="G758">
        <v>4</v>
      </c>
      <c r="H758">
        <v>4</v>
      </c>
      <c r="I758" t="s">
        <v>72</v>
      </c>
      <c r="J758">
        <v>1</v>
      </c>
      <c r="K758">
        <v>314</v>
      </c>
    </row>
    <row r="759" spans="1:11" x14ac:dyDescent="0.35">
      <c r="A759" t="s">
        <v>959</v>
      </c>
      <c r="B759" s="4" t="s">
        <v>958</v>
      </c>
      <c r="C759">
        <v>7</v>
      </c>
      <c r="D759" t="s">
        <v>71</v>
      </c>
      <c r="E759" s="7">
        <v>23</v>
      </c>
      <c r="F759">
        <v>1150</v>
      </c>
      <c r="G759">
        <v>4</v>
      </c>
      <c r="H759">
        <v>4</v>
      </c>
      <c r="I759" t="s">
        <v>72</v>
      </c>
      <c r="J759">
        <v>1</v>
      </c>
      <c r="K759">
        <v>24</v>
      </c>
    </row>
    <row r="760" spans="1:11" x14ac:dyDescent="0.35">
      <c r="A760" t="s">
        <v>960</v>
      </c>
      <c r="B760" s="4" t="s">
        <v>958</v>
      </c>
      <c r="C760">
        <v>31</v>
      </c>
      <c r="D760" t="s">
        <v>71</v>
      </c>
      <c r="E760" s="7">
        <v>24</v>
      </c>
      <c r="F760">
        <v>1200</v>
      </c>
      <c r="G760">
        <v>4</v>
      </c>
      <c r="H760">
        <v>3</v>
      </c>
      <c r="I760" t="s">
        <v>72</v>
      </c>
      <c r="J760">
        <v>1</v>
      </c>
      <c r="K760">
        <v>323</v>
      </c>
    </row>
    <row r="761" spans="1:11" x14ac:dyDescent="0.35">
      <c r="A761" t="s">
        <v>961</v>
      </c>
      <c r="B761" s="4" t="s">
        <v>958</v>
      </c>
      <c r="C761">
        <v>28</v>
      </c>
      <c r="D761" t="s">
        <v>71</v>
      </c>
      <c r="E761" s="7">
        <v>25</v>
      </c>
      <c r="F761">
        <v>1250</v>
      </c>
      <c r="G761">
        <v>4</v>
      </c>
      <c r="H761">
        <v>2</v>
      </c>
      <c r="I761" t="s">
        <v>72</v>
      </c>
      <c r="J761">
        <v>1</v>
      </c>
      <c r="K761">
        <v>286</v>
      </c>
    </row>
    <row r="762" spans="1:11" x14ac:dyDescent="0.35">
      <c r="A762" t="s">
        <v>962</v>
      </c>
      <c r="B762" s="4" t="s">
        <v>958</v>
      </c>
      <c r="C762">
        <v>25</v>
      </c>
      <c r="D762" t="s">
        <v>71</v>
      </c>
      <c r="E762" s="7">
        <v>23</v>
      </c>
      <c r="F762">
        <v>1150</v>
      </c>
      <c r="G762">
        <v>4</v>
      </c>
      <c r="H762">
        <v>4</v>
      </c>
      <c r="I762" t="s">
        <v>72</v>
      </c>
      <c r="J762">
        <v>1</v>
      </c>
      <c r="K762">
        <v>289</v>
      </c>
    </row>
    <row r="763" spans="1:11" x14ac:dyDescent="0.35">
      <c r="A763" t="s">
        <v>963</v>
      </c>
      <c r="B763" s="4" t="s">
        <v>958</v>
      </c>
      <c r="C763">
        <v>7</v>
      </c>
      <c r="D763" t="s">
        <v>45</v>
      </c>
      <c r="E763" s="7">
        <v>-6</v>
      </c>
      <c r="F763">
        <v>-300</v>
      </c>
      <c r="G763">
        <v>1</v>
      </c>
      <c r="I763" t="s">
        <v>46</v>
      </c>
      <c r="J763">
        <v>1</v>
      </c>
      <c r="K763">
        <v>18</v>
      </c>
    </row>
    <row r="764" spans="1:11" x14ac:dyDescent="0.35">
      <c r="A764" t="s">
        <v>964</v>
      </c>
      <c r="B764" s="4" t="s">
        <v>958</v>
      </c>
      <c r="C764">
        <v>7</v>
      </c>
      <c r="D764" t="s">
        <v>45</v>
      </c>
      <c r="E764" s="7">
        <v>-3</v>
      </c>
      <c r="F764">
        <v>-150</v>
      </c>
      <c r="G764">
        <v>2</v>
      </c>
      <c r="I764" t="s">
        <v>46</v>
      </c>
      <c r="J764">
        <v>1</v>
      </c>
      <c r="K764">
        <v>15</v>
      </c>
    </row>
    <row r="765" spans="1:11" x14ac:dyDescent="0.35">
      <c r="A765" t="s">
        <v>965</v>
      </c>
      <c r="B765" s="4" t="s">
        <v>958</v>
      </c>
      <c r="C765">
        <v>7</v>
      </c>
      <c r="D765" t="s">
        <v>45</v>
      </c>
      <c r="E765" s="7">
        <v>-4</v>
      </c>
      <c r="F765">
        <v>-200</v>
      </c>
      <c r="G765">
        <v>3</v>
      </c>
      <c r="I765" t="s">
        <v>46</v>
      </c>
      <c r="J765">
        <v>1</v>
      </c>
      <c r="K765">
        <v>11</v>
      </c>
    </row>
    <row r="766" spans="1:11" x14ac:dyDescent="0.35">
      <c r="A766" t="s">
        <v>966</v>
      </c>
      <c r="B766" s="4" t="s">
        <v>967</v>
      </c>
      <c r="C766">
        <v>7</v>
      </c>
      <c r="D766" t="s">
        <v>45</v>
      </c>
      <c r="E766" s="7">
        <v>-6</v>
      </c>
      <c r="F766">
        <v>-300</v>
      </c>
      <c r="G766">
        <v>1</v>
      </c>
      <c r="I766" t="s">
        <v>46</v>
      </c>
      <c r="J766">
        <v>1</v>
      </c>
      <c r="K766">
        <v>5</v>
      </c>
    </row>
    <row r="767" spans="1:11" x14ac:dyDescent="0.35">
      <c r="A767" t="s">
        <v>968</v>
      </c>
      <c r="B767" s="4" t="s">
        <v>967</v>
      </c>
      <c r="C767">
        <v>7</v>
      </c>
      <c r="D767" t="s">
        <v>45</v>
      </c>
      <c r="E767" s="7">
        <v>-4</v>
      </c>
      <c r="F767">
        <v>-200</v>
      </c>
      <c r="G767">
        <v>2</v>
      </c>
      <c r="I767" t="s">
        <v>46</v>
      </c>
      <c r="J767">
        <v>1</v>
      </c>
      <c r="K767">
        <v>1</v>
      </c>
    </row>
    <row r="768" spans="1:11" x14ac:dyDescent="0.35">
      <c r="A768" t="s">
        <v>969</v>
      </c>
      <c r="B768" s="4" t="s">
        <v>970</v>
      </c>
      <c r="C768">
        <v>22</v>
      </c>
      <c r="D768" t="s">
        <v>71</v>
      </c>
      <c r="E768" s="7">
        <v>29</v>
      </c>
      <c r="F768">
        <v>1450</v>
      </c>
      <c r="G768">
        <v>4</v>
      </c>
      <c r="H768">
        <v>3</v>
      </c>
      <c r="I768" t="s">
        <v>72</v>
      </c>
      <c r="J768">
        <v>1</v>
      </c>
      <c r="K768">
        <v>427</v>
      </c>
    </row>
    <row r="769" spans="1:11" x14ac:dyDescent="0.35">
      <c r="A769" t="s">
        <v>971</v>
      </c>
      <c r="B769" s="4" t="s">
        <v>970</v>
      </c>
      <c r="C769">
        <v>8</v>
      </c>
      <c r="D769" t="s">
        <v>71</v>
      </c>
      <c r="E769" s="7">
        <v>37</v>
      </c>
      <c r="F769">
        <v>1850</v>
      </c>
      <c r="G769">
        <v>4</v>
      </c>
      <c r="H769">
        <v>4</v>
      </c>
      <c r="I769" t="s">
        <v>72</v>
      </c>
      <c r="J769">
        <v>1</v>
      </c>
      <c r="K769">
        <v>37</v>
      </c>
    </row>
    <row r="770" spans="1:11" x14ac:dyDescent="0.35">
      <c r="A770" t="s">
        <v>972</v>
      </c>
      <c r="B770" s="4" t="s">
        <v>970</v>
      </c>
      <c r="C770">
        <v>3</v>
      </c>
      <c r="D770" t="s">
        <v>71</v>
      </c>
      <c r="E770" s="7">
        <v>57</v>
      </c>
      <c r="F770">
        <v>2850</v>
      </c>
      <c r="G770">
        <v>4</v>
      </c>
      <c r="H770">
        <v>2</v>
      </c>
      <c r="I770" t="s">
        <v>72</v>
      </c>
      <c r="J770">
        <v>1</v>
      </c>
      <c r="K770">
        <v>453</v>
      </c>
    </row>
    <row r="771" spans="1:11" x14ac:dyDescent="0.35">
      <c r="A771" t="s">
        <v>973</v>
      </c>
      <c r="B771" s="4" t="s">
        <v>970</v>
      </c>
      <c r="C771">
        <v>21</v>
      </c>
      <c r="D771" t="s">
        <v>71</v>
      </c>
      <c r="E771" s="7">
        <v>29</v>
      </c>
      <c r="F771">
        <v>1450</v>
      </c>
      <c r="G771">
        <v>4</v>
      </c>
      <c r="H771">
        <v>3</v>
      </c>
      <c r="I771" t="s">
        <v>72</v>
      </c>
      <c r="J771">
        <v>1</v>
      </c>
      <c r="K771">
        <v>172</v>
      </c>
    </row>
    <row r="772" spans="1:11" x14ac:dyDescent="0.35">
      <c r="A772" t="s">
        <v>974</v>
      </c>
      <c r="B772" s="4" t="s">
        <v>970</v>
      </c>
      <c r="C772">
        <v>16</v>
      </c>
      <c r="D772" t="s">
        <v>71</v>
      </c>
      <c r="E772" s="7">
        <v>21</v>
      </c>
      <c r="F772">
        <v>1050</v>
      </c>
      <c r="G772">
        <v>4</v>
      </c>
      <c r="H772">
        <v>1</v>
      </c>
      <c r="I772" t="s">
        <v>72</v>
      </c>
      <c r="J772">
        <v>1</v>
      </c>
      <c r="K772">
        <v>255</v>
      </c>
    </row>
    <row r="773" spans="1:11" x14ac:dyDescent="0.35">
      <c r="A773" t="s">
        <v>975</v>
      </c>
      <c r="B773" s="4" t="s">
        <v>970</v>
      </c>
      <c r="C773">
        <v>8</v>
      </c>
      <c r="D773" t="s">
        <v>45</v>
      </c>
      <c r="E773" s="7">
        <v>-7</v>
      </c>
      <c r="F773">
        <v>-350</v>
      </c>
      <c r="G773">
        <v>1</v>
      </c>
      <c r="I773" t="s">
        <v>46</v>
      </c>
      <c r="J773">
        <v>1</v>
      </c>
      <c r="K773">
        <v>30</v>
      </c>
    </row>
    <row r="774" spans="1:11" x14ac:dyDescent="0.35">
      <c r="A774" t="s">
        <v>976</v>
      </c>
      <c r="B774" s="4" t="s">
        <v>977</v>
      </c>
      <c r="C774">
        <v>7</v>
      </c>
      <c r="D774" t="s">
        <v>71</v>
      </c>
      <c r="E774" s="7">
        <v>21</v>
      </c>
      <c r="F774">
        <v>1050</v>
      </c>
      <c r="G774">
        <v>4</v>
      </c>
      <c r="H774">
        <v>4</v>
      </c>
      <c r="I774" t="s">
        <v>72</v>
      </c>
      <c r="J774">
        <v>1</v>
      </c>
      <c r="K774">
        <v>22</v>
      </c>
    </row>
    <row r="775" spans="1:11" x14ac:dyDescent="0.35">
      <c r="A775" t="s">
        <v>978</v>
      </c>
      <c r="B775" s="4" t="s">
        <v>977</v>
      </c>
      <c r="C775">
        <v>31</v>
      </c>
      <c r="D775" t="s">
        <v>71</v>
      </c>
      <c r="E775" s="7">
        <v>35</v>
      </c>
      <c r="F775">
        <v>1750</v>
      </c>
      <c r="G775">
        <v>4</v>
      </c>
      <c r="H775">
        <v>3</v>
      </c>
      <c r="I775" t="s">
        <v>72</v>
      </c>
      <c r="J775">
        <v>1</v>
      </c>
      <c r="K775">
        <v>358</v>
      </c>
    </row>
    <row r="776" spans="1:11" x14ac:dyDescent="0.35">
      <c r="A776" t="s">
        <v>979</v>
      </c>
      <c r="B776" s="4" t="s">
        <v>977</v>
      </c>
      <c r="C776">
        <v>7</v>
      </c>
      <c r="D776" t="s">
        <v>45</v>
      </c>
      <c r="E776" s="7">
        <v>-4</v>
      </c>
      <c r="F776">
        <v>-200</v>
      </c>
      <c r="G776">
        <v>1</v>
      </c>
      <c r="I776" t="s">
        <v>46</v>
      </c>
      <c r="J776">
        <v>1</v>
      </c>
      <c r="K776">
        <v>18</v>
      </c>
    </row>
    <row r="777" spans="1:11" x14ac:dyDescent="0.35">
      <c r="A777" t="s">
        <v>980</v>
      </c>
      <c r="B777" s="4" t="s">
        <v>977</v>
      </c>
      <c r="C777">
        <v>8</v>
      </c>
      <c r="D777" t="s">
        <v>45</v>
      </c>
      <c r="E777" s="7">
        <v>-4</v>
      </c>
      <c r="F777">
        <v>-200</v>
      </c>
      <c r="G777">
        <v>3</v>
      </c>
      <c r="I777" t="s">
        <v>46</v>
      </c>
      <c r="J777">
        <v>1</v>
      </c>
      <c r="K777">
        <v>26</v>
      </c>
    </row>
    <row r="778" spans="1:11" x14ac:dyDescent="0.35">
      <c r="A778" t="s">
        <v>981</v>
      </c>
      <c r="B778" s="4" t="s">
        <v>982</v>
      </c>
      <c r="C778">
        <v>16</v>
      </c>
      <c r="D778" t="s">
        <v>71</v>
      </c>
      <c r="E778" s="7">
        <v>42</v>
      </c>
      <c r="F778">
        <v>2100</v>
      </c>
      <c r="G778">
        <v>4</v>
      </c>
      <c r="H778">
        <v>1</v>
      </c>
      <c r="I778" t="s">
        <v>72</v>
      </c>
      <c r="J778">
        <v>1</v>
      </c>
      <c r="K778">
        <v>297</v>
      </c>
    </row>
    <row r="779" spans="1:11" x14ac:dyDescent="0.35">
      <c r="A779" t="s">
        <v>983</v>
      </c>
      <c r="B779" s="4" t="s">
        <v>982</v>
      </c>
      <c r="C779">
        <v>9</v>
      </c>
      <c r="D779" t="s">
        <v>71</v>
      </c>
      <c r="E779" s="7">
        <v>21</v>
      </c>
      <c r="F779">
        <v>1050</v>
      </c>
      <c r="G779">
        <v>4</v>
      </c>
      <c r="H779">
        <v>3</v>
      </c>
      <c r="I779" t="s">
        <v>72</v>
      </c>
      <c r="J779">
        <v>1</v>
      </c>
      <c r="K779">
        <v>21</v>
      </c>
    </row>
    <row r="780" spans="1:11" x14ac:dyDescent="0.35">
      <c r="A780" t="s">
        <v>984</v>
      </c>
      <c r="B780" s="4" t="s">
        <v>982</v>
      </c>
      <c r="C780">
        <v>7</v>
      </c>
      <c r="D780" t="s">
        <v>45</v>
      </c>
      <c r="E780" s="7">
        <v>-2</v>
      </c>
      <c r="F780">
        <v>-100</v>
      </c>
      <c r="G780">
        <v>1</v>
      </c>
      <c r="I780" t="s">
        <v>46</v>
      </c>
      <c r="J780">
        <v>1</v>
      </c>
      <c r="K780">
        <v>16</v>
      </c>
    </row>
    <row r="781" spans="1:11" x14ac:dyDescent="0.35">
      <c r="A781" t="s">
        <v>985</v>
      </c>
      <c r="B781" s="4" t="s">
        <v>982</v>
      </c>
      <c r="C781">
        <v>8</v>
      </c>
      <c r="D781" t="s">
        <v>45</v>
      </c>
      <c r="E781" s="7">
        <v>-6</v>
      </c>
      <c r="F781">
        <v>-300</v>
      </c>
      <c r="G781">
        <v>1</v>
      </c>
      <c r="I781" t="s">
        <v>46</v>
      </c>
      <c r="J781">
        <v>1</v>
      </c>
      <c r="K781">
        <v>20</v>
      </c>
    </row>
    <row r="782" spans="1:11" x14ac:dyDescent="0.35">
      <c r="A782" t="s">
        <v>986</v>
      </c>
      <c r="B782" s="4" t="s">
        <v>982</v>
      </c>
      <c r="C782">
        <v>7</v>
      </c>
      <c r="D782" t="s">
        <v>45</v>
      </c>
      <c r="E782" s="7">
        <v>-6</v>
      </c>
      <c r="F782">
        <v>-300</v>
      </c>
      <c r="G782">
        <v>2</v>
      </c>
      <c r="I782" t="s">
        <v>46</v>
      </c>
      <c r="J782">
        <v>1</v>
      </c>
      <c r="K782">
        <v>10</v>
      </c>
    </row>
    <row r="783" spans="1:11" x14ac:dyDescent="0.35">
      <c r="A783" t="s">
        <v>987</v>
      </c>
      <c r="B783" s="4" t="s">
        <v>982</v>
      </c>
      <c r="C783">
        <v>8</v>
      </c>
      <c r="D783" t="s">
        <v>45</v>
      </c>
      <c r="E783" s="7">
        <v>-6</v>
      </c>
      <c r="F783">
        <v>-300</v>
      </c>
      <c r="G783">
        <v>2</v>
      </c>
      <c r="I783" t="s">
        <v>46</v>
      </c>
      <c r="J783">
        <v>1</v>
      </c>
      <c r="K783">
        <v>14</v>
      </c>
    </row>
    <row r="784" spans="1:11" x14ac:dyDescent="0.35">
      <c r="A784" t="s">
        <v>988</v>
      </c>
      <c r="B784" s="4" t="s">
        <v>982</v>
      </c>
      <c r="C784">
        <v>9</v>
      </c>
      <c r="D784" t="s">
        <v>45</v>
      </c>
      <c r="E784" s="7">
        <v>-4</v>
      </c>
      <c r="F784">
        <v>-200</v>
      </c>
      <c r="G784">
        <v>2</v>
      </c>
      <c r="I784" t="s">
        <v>46</v>
      </c>
      <c r="J784">
        <v>1</v>
      </c>
      <c r="K784">
        <v>17</v>
      </c>
    </row>
    <row r="785" spans="1:11" x14ac:dyDescent="0.35">
      <c r="A785" t="s">
        <v>989</v>
      </c>
      <c r="B785" s="4" t="s">
        <v>982</v>
      </c>
      <c r="C785">
        <v>7</v>
      </c>
      <c r="D785" t="s">
        <v>45</v>
      </c>
      <c r="E785" s="7">
        <v>-5</v>
      </c>
      <c r="F785">
        <v>-250</v>
      </c>
      <c r="G785">
        <v>3</v>
      </c>
      <c r="I785" t="s">
        <v>46</v>
      </c>
      <c r="J785">
        <v>1</v>
      </c>
      <c r="K785">
        <v>5</v>
      </c>
    </row>
    <row r="786" spans="1:11" x14ac:dyDescent="0.35">
      <c r="A786" t="s">
        <v>990</v>
      </c>
      <c r="B786" s="4" t="s">
        <v>982</v>
      </c>
      <c r="C786">
        <v>8</v>
      </c>
      <c r="D786" t="s">
        <v>45</v>
      </c>
      <c r="E786" s="7">
        <v>-4</v>
      </c>
      <c r="F786">
        <v>-200</v>
      </c>
      <c r="G786">
        <v>3</v>
      </c>
      <c r="I786" t="s">
        <v>46</v>
      </c>
      <c r="J786">
        <v>1</v>
      </c>
      <c r="K786">
        <v>10</v>
      </c>
    </row>
    <row r="787" spans="1:11" x14ac:dyDescent="0.35">
      <c r="A787" t="s">
        <v>991</v>
      </c>
      <c r="B787" s="4" t="s">
        <v>982</v>
      </c>
      <c r="C787">
        <v>9</v>
      </c>
      <c r="D787" t="s">
        <v>45</v>
      </c>
      <c r="E787" s="7">
        <v>-4</v>
      </c>
      <c r="F787">
        <v>-200</v>
      </c>
      <c r="G787">
        <v>3</v>
      </c>
      <c r="I787" t="s">
        <v>46</v>
      </c>
      <c r="J787">
        <v>1</v>
      </c>
      <c r="K787">
        <v>13</v>
      </c>
    </row>
    <row r="788" spans="1:11" x14ac:dyDescent="0.35">
      <c r="A788" t="s">
        <v>992</v>
      </c>
      <c r="B788" s="4" t="s">
        <v>993</v>
      </c>
      <c r="C788">
        <v>23</v>
      </c>
      <c r="D788" t="s">
        <v>71</v>
      </c>
      <c r="E788" s="7">
        <v>42</v>
      </c>
      <c r="F788">
        <v>2100</v>
      </c>
      <c r="G788">
        <v>4</v>
      </c>
      <c r="H788">
        <v>2</v>
      </c>
      <c r="I788" t="s">
        <v>72</v>
      </c>
      <c r="J788">
        <v>1</v>
      </c>
      <c r="K788">
        <v>358</v>
      </c>
    </row>
    <row r="789" spans="1:11" x14ac:dyDescent="0.35">
      <c r="A789" t="s">
        <v>994</v>
      </c>
      <c r="B789" s="4" t="s">
        <v>993</v>
      </c>
      <c r="C789">
        <v>20</v>
      </c>
      <c r="D789" t="s">
        <v>71</v>
      </c>
      <c r="E789" s="7">
        <v>47</v>
      </c>
      <c r="F789">
        <v>2350</v>
      </c>
      <c r="G789">
        <v>4</v>
      </c>
      <c r="H789">
        <v>3</v>
      </c>
      <c r="I789" t="s">
        <v>72</v>
      </c>
      <c r="J789">
        <v>1</v>
      </c>
      <c r="K789">
        <v>240</v>
      </c>
    </row>
    <row r="790" spans="1:11" x14ac:dyDescent="0.35">
      <c r="A790" t="s">
        <v>995</v>
      </c>
      <c r="B790" s="4" t="s">
        <v>993</v>
      </c>
      <c r="C790">
        <v>15</v>
      </c>
      <c r="D790" t="s">
        <v>71</v>
      </c>
      <c r="E790" s="7">
        <v>28</v>
      </c>
      <c r="F790">
        <v>1400</v>
      </c>
      <c r="G790">
        <v>4</v>
      </c>
      <c r="H790">
        <v>1</v>
      </c>
      <c r="I790" t="s">
        <v>72</v>
      </c>
      <c r="J790">
        <v>1</v>
      </c>
      <c r="K790">
        <v>379</v>
      </c>
    </row>
    <row r="791" spans="1:11" x14ac:dyDescent="0.35">
      <c r="A791" t="s">
        <v>996</v>
      </c>
      <c r="B791" s="4" t="s">
        <v>993</v>
      </c>
      <c r="C791">
        <v>29</v>
      </c>
      <c r="D791" t="s">
        <v>71</v>
      </c>
      <c r="E791" s="7">
        <v>46</v>
      </c>
      <c r="F791">
        <v>2300</v>
      </c>
      <c r="G791">
        <v>4</v>
      </c>
      <c r="H791">
        <v>4</v>
      </c>
      <c r="I791" t="s">
        <v>72</v>
      </c>
      <c r="J791">
        <v>1</v>
      </c>
      <c r="K791">
        <v>344</v>
      </c>
    </row>
    <row r="792" spans="1:11" x14ac:dyDescent="0.35">
      <c r="A792" t="s">
        <v>997</v>
      </c>
      <c r="B792" s="4" t="s">
        <v>993</v>
      </c>
      <c r="C792">
        <v>13</v>
      </c>
      <c r="D792" t="s">
        <v>71</v>
      </c>
      <c r="E792" s="7">
        <v>35</v>
      </c>
      <c r="F792">
        <v>1750</v>
      </c>
      <c r="G792">
        <v>4</v>
      </c>
      <c r="H792">
        <v>2</v>
      </c>
      <c r="I792" t="s">
        <v>72</v>
      </c>
      <c r="J792">
        <v>1</v>
      </c>
      <c r="K792">
        <v>320</v>
      </c>
    </row>
    <row r="793" spans="1:11" x14ac:dyDescent="0.35">
      <c r="A793" t="s">
        <v>998</v>
      </c>
      <c r="B793" s="4" t="s">
        <v>993</v>
      </c>
      <c r="C793">
        <v>7</v>
      </c>
      <c r="D793" t="s">
        <v>45</v>
      </c>
      <c r="E793" s="7">
        <v>-4</v>
      </c>
      <c r="F793">
        <v>-200</v>
      </c>
      <c r="G793">
        <v>1</v>
      </c>
      <c r="I793" t="s">
        <v>46</v>
      </c>
      <c r="J793">
        <v>1</v>
      </c>
      <c r="K793">
        <v>1</v>
      </c>
    </row>
    <row r="794" spans="1:11" x14ac:dyDescent="0.35">
      <c r="A794" t="s">
        <v>999</v>
      </c>
      <c r="B794" s="4" t="s">
        <v>993</v>
      </c>
      <c r="C794">
        <v>8</v>
      </c>
      <c r="D794" t="s">
        <v>45</v>
      </c>
      <c r="E794" s="7">
        <v>-5</v>
      </c>
      <c r="F794">
        <v>-250</v>
      </c>
      <c r="G794">
        <v>1</v>
      </c>
      <c r="I794" t="s">
        <v>46</v>
      </c>
      <c r="J794">
        <v>1</v>
      </c>
      <c r="K794">
        <v>5</v>
      </c>
    </row>
    <row r="795" spans="1:11" x14ac:dyDescent="0.35">
      <c r="A795" t="s">
        <v>1000</v>
      </c>
      <c r="B795" s="4" t="s">
        <v>993</v>
      </c>
      <c r="C795">
        <v>9</v>
      </c>
      <c r="D795" t="s">
        <v>45</v>
      </c>
      <c r="E795" s="7">
        <v>-3</v>
      </c>
      <c r="F795">
        <v>-150</v>
      </c>
      <c r="G795">
        <v>1</v>
      </c>
      <c r="I795" t="s">
        <v>46</v>
      </c>
      <c r="J795">
        <v>1</v>
      </c>
      <c r="K795">
        <v>10</v>
      </c>
    </row>
    <row r="796" spans="1:11" x14ac:dyDescent="0.35">
      <c r="A796" t="s">
        <v>1001</v>
      </c>
      <c r="B796" s="4" t="s">
        <v>1002</v>
      </c>
      <c r="C796">
        <v>8</v>
      </c>
      <c r="D796" t="s">
        <v>45</v>
      </c>
      <c r="E796" s="7">
        <v>-4</v>
      </c>
      <c r="F796">
        <v>-200</v>
      </c>
      <c r="G796">
        <v>1</v>
      </c>
      <c r="I796" t="s">
        <v>46</v>
      </c>
      <c r="J796">
        <v>1</v>
      </c>
      <c r="K796">
        <v>1</v>
      </c>
    </row>
    <row r="797" spans="1:11" x14ac:dyDescent="0.35">
      <c r="A797" t="s">
        <v>1003</v>
      </c>
      <c r="B797" s="4" t="s">
        <v>1002</v>
      </c>
      <c r="C797">
        <v>9</v>
      </c>
      <c r="D797" t="s">
        <v>45</v>
      </c>
      <c r="E797" s="7">
        <v>-7</v>
      </c>
      <c r="F797">
        <v>-350</v>
      </c>
      <c r="G797">
        <v>1</v>
      </c>
      <c r="I797" t="s">
        <v>46</v>
      </c>
      <c r="J797">
        <v>1</v>
      </c>
      <c r="K797">
        <v>3</v>
      </c>
    </row>
    <row r="798" spans="1:11" x14ac:dyDescent="0.35">
      <c r="A798" t="s">
        <v>1004</v>
      </c>
      <c r="B798" s="4" t="s">
        <v>1002</v>
      </c>
      <c r="C798">
        <v>9</v>
      </c>
      <c r="D798" t="s">
        <v>45</v>
      </c>
      <c r="E798" s="7">
        <v>-3</v>
      </c>
      <c r="F798">
        <v>-150</v>
      </c>
      <c r="G798">
        <v>2</v>
      </c>
      <c r="I798" t="s">
        <v>46</v>
      </c>
      <c r="J798">
        <v>1</v>
      </c>
      <c r="K798">
        <v>0</v>
      </c>
    </row>
    <row r="799" spans="1:11" x14ac:dyDescent="0.35">
      <c r="A799" t="s">
        <v>1005</v>
      </c>
      <c r="B799" s="4" t="s">
        <v>1006</v>
      </c>
      <c r="C799">
        <v>11</v>
      </c>
      <c r="D799" t="s">
        <v>71</v>
      </c>
      <c r="E799" s="7">
        <v>42</v>
      </c>
      <c r="F799">
        <v>2100</v>
      </c>
      <c r="G799">
        <v>4</v>
      </c>
      <c r="H799">
        <v>4</v>
      </c>
      <c r="I799" t="s">
        <v>72</v>
      </c>
      <c r="J799">
        <v>1</v>
      </c>
      <c r="K799">
        <v>42</v>
      </c>
    </row>
    <row r="800" spans="1:11" x14ac:dyDescent="0.35">
      <c r="A800" t="s">
        <v>1007</v>
      </c>
      <c r="B800" s="4" t="s">
        <v>1006</v>
      </c>
      <c r="C800">
        <v>18</v>
      </c>
      <c r="D800" t="s">
        <v>71</v>
      </c>
      <c r="E800" s="7">
        <v>37</v>
      </c>
      <c r="F800">
        <v>1850</v>
      </c>
      <c r="G800">
        <v>4</v>
      </c>
      <c r="H800">
        <v>4</v>
      </c>
      <c r="I800" t="s">
        <v>72</v>
      </c>
      <c r="J800">
        <v>1</v>
      </c>
      <c r="K800">
        <v>265</v>
      </c>
    </row>
    <row r="801" spans="1:11" x14ac:dyDescent="0.35">
      <c r="A801" t="s">
        <v>1008</v>
      </c>
      <c r="B801" s="4" t="s">
        <v>1006</v>
      </c>
      <c r="C801">
        <v>34</v>
      </c>
      <c r="D801" t="s">
        <v>71</v>
      </c>
      <c r="E801" s="7">
        <v>48</v>
      </c>
      <c r="F801">
        <v>2400</v>
      </c>
      <c r="G801">
        <v>4</v>
      </c>
      <c r="H801">
        <v>4</v>
      </c>
      <c r="I801" t="s">
        <v>72</v>
      </c>
      <c r="J801">
        <v>1</v>
      </c>
      <c r="K801">
        <v>356</v>
      </c>
    </row>
    <row r="802" spans="1:11" x14ac:dyDescent="0.35">
      <c r="A802" t="s">
        <v>1009</v>
      </c>
      <c r="B802" s="4" t="s">
        <v>1006</v>
      </c>
      <c r="C802">
        <v>11</v>
      </c>
      <c r="D802" t="s">
        <v>45</v>
      </c>
      <c r="E802" s="7">
        <v>-4</v>
      </c>
      <c r="F802">
        <v>-200</v>
      </c>
      <c r="G802">
        <v>1</v>
      </c>
      <c r="I802" t="s">
        <v>46</v>
      </c>
      <c r="J802">
        <v>1</v>
      </c>
      <c r="K802">
        <v>38</v>
      </c>
    </row>
    <row r="803" spans="1:11" x14ac:dyDescent="0.35">
      <c r="A803" t="s">
        <v>1010</v>
      </c>
      <c r="B803" s="4" t="s">
        <v>1006</v>
      </c>
      <c r="C803">
        <v>11</v>
      </c>
      <c r="D803" t="s">
        <v>45</v>
      </c>
      <c r="E803" s="7">
        <v>-4</v>
      </c>
      <c r="F803">
        <v>-200</v>
      </c>
      <c r="G803">
        <v>3</v>
      </c>
      <c r="I803" t="s">
        <v>46</v>
      </c>
      <c r="J803">
        <v>1</v>
      </c>
      <c r="K803">
        <v>34</v>
      </c>
    </row>
    <row r="804" spans="1:11" x14ac:dyDescent="0.35">
      <c r="A804" t="s">
        <v>1011</v>
      </c>
      <c r="B804" s="4" t="s">
        <v>1012</v>
      </c>
      <c r="C804">
        <v>32</v>
      </c>
      <c r="D804" t="s">
        <v>71</v>
      </c>
      <c r="E804" s="7">
        <v>36</v>
      </c>
      <c r="F804">
        <v>1800</v>
      </c>
      <c r="G804">
        <v>4</v>
      </c>
      <c r="H804">
        <v>4</v>
      </c>
      <c r="I804" t="s">
        <v>72</v>
      </c>
      <c r="J804">
        <v>1</v>
      </c>
      <c r="K804">
        <v>350</v>
      </c>
    </row>
    <row r="805" spans="1:11" x14ac:dyDescent="0.35">
      <c r="A805" t="s">
        <v>1013</v>
      </c>
      <c r="B805" s="4" t="s">
        <v>1012</v>
      </c>
      <c r="C805">
        <v>14</v>
      </c>
      <c r="D805" t="s">
        <v>71</v>
      </c>
      <c r="E805" s="7">
        <v>24</v>
      </c>
      <c r="F805">
        <v>1200</v>
      </c>
      <c r="G805">
        <v>4</v>
      </c>
      <c r="H805">
        <v>3</v>
      </c>
      <c r="I805" t="s">
        <v>72</v>
      </c>
      <c r="J805">
        <v>1</v>
      </c>
      <c r="K805">
        <v>267</v>
      </c>
    </row>
    <row r="806" spans="1:11" x14ac:dyDescent="0.35">
      <c r="A806" t="s">
        <v>1014</v>
      </c>
      <c r="B806" s="4" t="s">
        <v>1012</v>
      </c>
      <c r="C806">
        <v>9</v>
      </c>
      <c r="D806" t="s">
        <v>71</v>
      </c>
      <c r="E806" s="7">
        <v>39</v>
      </c>
      <c r="F806">
        <v>1950</v>
      </c>
      <c r="G806">
        <v>4</v>
      </c>
      <c r="H806">
        <v>3</v>
      </c>
      <c r="I806" t="s">
        <v>72</v>
      </c>
      <c r="J806">
        <v>1</v>
      </c>
      <c r="K806">
        <v>39</v>
      </c>
    </row>
    <row r="807" spans="1:11" x14ac:dyDescent="0.35">
      <c r="A807" t="s">
        <v>1015</v>
      </c>
      <c r="B807" s="4" t="s">
        <v>1012</v>
      </c>
      <c r="C807">
        <v>15</v>
      </c>
      <c r="D807" t="s">
        <v>71</v>
      </c>
      <c r="E807" s="7">
        <v>34</v>
      </c>
      <c r="F807">
        <v>1700</v>
      </c>
      <c r="G807">
        <v>4</v>
      </c>
      <c r="H807">
        <v>1</v>
      </c>
      <c r="I807" t="s">
        <v>72</v>
      </c>
      <c r="J807">
        <v>1</v>
      </c>
      <c r="K807">
        <v>413</v>
      </c>
    </row>
    <row r="808" spans="1:11" x14ac:dyDescent="0.35">
      <c r="A808" t="s">
        <v>1016</v>
      </c>
      <c r="B808" s="4" t="s">
        <v>1012</v>
      </c>
      <c r="C808">
        <v>6</v>
      </c>
      <c r="D808" t="s">
        <v>71</v>
      </c>
      <c r="E808" s="7">
        <v>22</v>
      </c>
      <c r="F808">
        <v>1100</v>
      </c>
      <c r="G808">
        <v>4</v>
      </c>
      <c r="H808">
        <v>4</v>
      </c>
      <c r="I808" t="s">
        <v>72</v>
      </c>
      <c r="J808">
        <v>1</v>
      </c>
      <c r="K808">
        <v>22</v>
      </c>
    </row>
    <row r="809" spans="1:11" x14ac:dyDescent="0.35">
      <c r="A809" t="s">
        <v>1017</v>
      </c>
      <c r="B809" s="4" t="s">
        <v>1012</v>
      </c>
      <c r="C809">
        <v>6</v>
      </c>
      <c r="D809" t="s">
        <v>45</v>
      </c>
      <c r="E809" s="7">
        <v>-6</v>
      </c>
      <c r="F809">
        <v>-300</v>
      </c>
      <c r="G809">
        <v>1</v>
      </c>
      <c r="I809" t="s">
        <v>46</v>
      </c>
      <c r="J809">
        <v>1</v>
      </c>
      <c r="K809">
        <v>16</v>
      </c>
    </row>
    <row r="810" spans="1:11" x14ac:dyDescent="0.35">
      <c r="A810" t="s">
        <v>1018</v>
      </c>
      <c r="B810" s="4" t="s">
        <v>1012</v>
      </c>
      <c r="C810">
        <v>9</v>
      </c>
      <c r="D810" t="s">
        <v>45</v>
      </c>
      <c r="E810" s="7">
        <v>-7</v>
      </c>
      <c r="F810">
        <v>-350</v>
      </c>
      <c r="G810">
        <v>1</v>
      </c>
      <c r="I810" t="s">
        <v>46</v>
      </c>
      <c r="J810">
        <v>1</v>
      </c>
      <c r="K810">
        <v>32</v>
      </c>
    </row>
    <row r="811" spans="1:11" x14ac:dyDescent="0.35">
      <c r="A811" t="s">
        <v>1019</v>
      </c>
      <c r="B811" s="4" t="s">
        <v>1012</v>
      </c>
      <c r="C811">
        <v>6</v>
      </c>
      <c r="D811" t="s">
        <v>45</v>
      </c>
      <c r="E811" s="7">
        <v>-5</v>
      </c>
      <c r="F811">
        <v>-250</v>
      </c>
      <c r="G811">
        <v>2</v>
      </c>
      <c r="I811" t="s">
        <v>46</v>
      </c>
      <c r="J811">
        <v>1</v>
      </c>
      <c r="K811">
        <v>11</v>
      </c>
    </row>
    <row r="812" spans="1:11" x14ac:dyDescent="0.35">
      <c r="A812" t="s">
        <v>1020</v>
      </c>
      <c r="B812" s="4" t="s">
        <v>1012</v>
      </c>
      <c r="C812">
        <v>11</v>
      </c>
      <c r="D812" t="s">
        <v>45</v>
      </c>
      <c r="E812" s="7">
        <v>-6</v>
      </c>
      <c r="F812">
        <v>-300</v>
      </c>
      <c r="G812">
        <v>2</v>
      </c>
      <c r="I812" t="s">
        <v>46</v>
      </c>
      <c r="J812">
        <v>1</v>
      </c>
      <c r="K812">
        <v>28</v>
      </c>
    </row>
    <row r="813" spans="1:11" x14ac:dyDescent="0.35">
      <c r="A813" t="s">
        <v>1021</v>
      </c>
      <c r="B813" s="4" t="s">
        <v>1012</v>
      </c>
      <c r="C813">
        <v>6</v>
      </c>
      <c r="D813" t="s">
        <v>45</v>
      </c>
      <c r="E813" s="7">
        <v>-5</v>
      </c>
      <c r="F813">
        <v>-250</v>
      </c>
      <c r="G813">
        <v>3</v>
      </c>
      <c r="I813" t="s">
        <v>46</v>
      </c>
      <c r="J813">
        <v>1</v>
      </c>
      <c r="K813">
        <v>6</v>
      </c>
    </row>
    <row r="814" spans="1:11" x14ac:dyDescent="0.35">
      <c r="A814" t="s">
        <v>1022</v>
      </c>
      <c r="B814" s="4" t="s">
        <v>1012</v>
      </c>
      <c r="C814">
        <v>11</v>
      </c>
      <c r="D814" t="s">
        <v>45</v>
      </c>
      <c r="E814" s="7">
        <v>-7</v>
      </c>
      <c r="F814">
        <v>-350</v>
      </c>
      <c r="G814">
        <v>3</v>
      </c>
      <c r="I814" t="s">
        <v>46</v>
      </c>
      <c r="J814">
        <v>1</v>
      </c>
      <c r="K814">
        <v>21</v>
      </c>
    </row>
    <row r="815" spans="1:11" x14ac:dyDescent="0.35">
      <c r="A815" t="s">
        <v>1023</v>
      </c>
      <c r="B815" s="4" t="s">
        <v>1024</v>
      </c>
      <c r="C815">
        <v>6</v>
      </c>
      <c r="D815" t="s">
        <v>45</v>
      </c>
      <c r="E815" s="7">
        <v>-6</v>
      </c>
      <c r="F815">
        <v>-300</v>
      </c>
      <c r="G815">
        <v>1</v>
      </c>
      <c r="I815" t="s">
        <v>46</v>
      </c>
      <c r="J815">
        <v>1</v>
      </c>
      <c r="K815">
        <v>0</v>
      </c>
    </row>
    <row r="816" spans="1:11" x14ac:dyDescent="0.35">
      <c r="A816" t="s">
        <v>1025</v>
      </c>
      <c r="B816" s="4" t="s">
        <v>1024</v>
      </c>
      <c r="C816">
        <v>9</v>
      </c>
      <c r="D816" t="s">
        <v>45</v>
      </c>
      <c r="E816" s="7">
        <v>-4</v>
      </c>
      <c r="F816">
        <v>-200</v>
      </c>
      <c r="G816">
        <v>1</v>
      </c>
      <c r="I816" t="s">
        <v>46</v>
      </c>
      <c r="J816">
        <v>1</v>
      </c>
      <c r="K816">
        <v>28</v>
      </c>
    </row>
    <row r="817" spans="1:11" x14ac:dyDescent="0.35">
      <c r="A817" t="s">
        <v>1026</v>
      </c>
      <c r="B817" s="4" t="s">
        <v>1024</v>
      </c>
      <c r="C817">
        <v>9</v>
      </c>
      <c r="D817" t="s">
        <v>45</v>
      </c>
      <c r="E817" s="7">
        <v>-3</v>
      </c>
      <c r="F817">
        <v>-150</v>
      </c>
      <c r="G817">
        <v>2</v>
      </c>
      <c r="I817" t="s">
        <v>46</v>
      </c>
      <c r="J817">
        <v>1</v>
      </c>
      <c r="K817">
        <v>25</v>
      </c>
    </row>
    <row r="818" spans="1:11" x14ac:dyDescent="0.35">
      <c r="A818" t="s">
        <v>1027</v>
      </c>
      <c r="B818" s="4" t="s">
        <v>1024</v>
      </c>
      <c r="C818">
        <v>11</v>
      </c>
      <c r="D818" t="s">
        <v>45</v>
      </c>
      <c r="E818" s="7">
        <v>-4</v>
      </c>
      <c r="F818">
        <v>-200</v>
      </c>
      <c r="G818">
        <v>2</v>
      </c>
      <c r="I818" t="s">
        <v>46</v>
      </c>
      <c r="J818">
        <v>1</v>
      </c>
      <c r="K818">
        <v>17</v>
      </c>
    </row>
    <row r="819" spans="1:11" x14ac:dyDescent="0.35">
      <c r="A819" t="s">
        <v>1028</v>
      </c>
      <c r="B819" s="4" t="s">
        <v>1024</v>
      </c>
      <c r="C819">
        <v>9</v>
      </c>
      <c r="D819" t="s">
        <v>45</v>
      </c>
      <c r="E819" s="7">
        <v>-7</v>
      </c>
      <c r="F819">
        <v>-350</v>
      </c>
      <c r="G819">
        <v>3</v>
      </c>
      <c r="I819" t="s">
        <v>46</v>
      </c>
      <c r="J819">
        <v>1</v>
      </c>
      <c r="K819">
        <v>18</v>
      </c>
    </row>
    <row r="820" spans="1:11" x14ac:dyDescent="0.35">
      <c r="A820" t="s">
        <v>1029</v>
      </c>
      <c r="B820" s="4" t="s">
        <v>1024</v>
      </c>
      <c r="C820">
        <v>11</v>
      </c>
      <c r="D820" t="s">
        <v>45</v>
      </c>
      <c r="E820" s="7">
        <v>-6</v>
      </c>
      <c r="F820">
        <v>-300</v>
      </c>
      <c r="G820">
        <v>3</v>
      </c>
      <c r="I820" t="s">
        <v>46</v>
      </c>
      <c r="J820">
        <v>1</v>
      </c>
      <c r="K820">
        <v>11</v>
      </c>
    </row>
    <row r="821" spans="1:11" x14ac:dyDescent="0.35">
      <c r="A821" t="s">
        <v>1030</v>
      </c>
      <c r="B821" s="4" t="s">
        <v>1031</v>
      </c>
      <c r="C821">
        <v>9</v>
      </c>
      <c r="D821" t="s">
        <v>45</v>
      </c>
      <c r="E821" s="7">
        <v>-3</v>
      </c>
      <c r="F821">
        <v>-150</v>
      </c>
      <c r="G821">
        <v>1</v>
      </c>
      <c r="I821" t="s">
        <v>46</v>
      </c>
      <c r="J821">
        <v>1</v>
      </c>
      <c r="K821">
        <v>15</v>
      </c>
    </row>
    <row r="822" spans="1:11" x14ac:dyDescent="0.35">
      <c r="A822" t="s">
        <v>1032</v>
      </c>
      <c r="B822" s="4" t="s">
        <v>1031</v>
      </c>
      <c r="C822">
        <v>11</v>
      </c>
      <c r="D822" t="s">
        <v>45</v>
      </c>
      <c r="E822" s="7">
        <v>-4</v>
      </c>
      <c r="F822">
        <v>-200</v>
      </c>
      <c r="G822">
        <v>1</v>
      </c>
      <c r="I822" t="s">
        <v>46</v>
      </c>
      <c r="J822">
        <v>1</v>
      </c>
      <c r="K822">
        <v>7</v>
      </c>
    </row>
    <row r="823" spans="1:11" x14ac:dyDescent="0.35">
      <c r="A823" t="s">
        <v>1033</v>
      </c>
      <c r="B823" s="4" t="s">
        <v>1031</v>
      </c>
      <c r="C823">
        <v>9</v>
      </c>
      <c r="D823" t="s">
        <v>45</v>
      </c>
      <c r="E823" s="7">
        <v>-3</v>
      </c>
      <c r="F823">
        <v>-150</v>
      </c>
      <c r="G823">
        <v>3</v>
      </c>
      <c r="I823" t="s">
        <v>46</v>
      </c>
      <c r="J823">
        <v>1</v>
      </c>
      <c r="K823">
        <v>12</v>
      </c>
    </row>
    <row r="824" spans="1:11" x14ac:dyDescent="0.35">
      <c r="A824" t="s">
        <v>1034</v>
      </c>
      <c r="B824" s="4" t="s">
        <v>1031</v>
      </c>
      <c r="C824">
        <v>11</v>
      </c>
      <c r="D824" t="s">
        <v>45</v>
      </c>
      <c r="E824" s="7">
        <v>-4</v>
      </c>
      <c r="F824">
        <v>-200</v>
      </c>
      <c r="G824">
        <v>3</v>
      </c>
      <c r="I824" t="s">
        <v>46</v>
      </c>
      <c r="J824">
        <v>1</v>
      </c>
      <c r="K824">
        <v>3</v>
      </c>
    </row>
    <row r="825" spans="1:11" x14ac:dyDescent="0.35">
      <c r="A825" t="s">
        <v>1035</v>
      </c>
      <c r="B825" s="4" t="s">
        <v>1036</v>
      </c>
      <c r="C825">
        <v>6</v>
      </c>
      <c r="D825" t="s">
        <v>71</v>
      </c>
      <c r="E825" s="7">
        <v>32</v>
      </c>
      <c r="F825">
        <v>1600</v>
      </c>
      <c r="G825">
        <v>4</v>
      </c>
      <c r="H825">
        <v>4</v>
      </c>
      <c r="I825" t="s">
        <v>72</v>
      </c>
      <c r="J825">
        <v>1</v>
      </c>
      <c r="K825">
        <v>32</v>
      </c>
    </row>
    <row r="826" spans="1:11" x14ac:dyDescent="0.35">
      <c r="A826" t="s">
        <v>1037</v>
      </c>
      <c r="B826" s="4" t="s">
        <v>1036</v>
      </c>
      <c r="C826">
        <v>31</v>
      </c>
      <c r="D826" t="s">
        <v>71</v>
      </c>
      <c r="E826" s="7">
        <v>29</v>
      </c>
      <c r="F826">
        <v>1450</v>
      </c>
      <c r="G826">
        <v>4</v>
      </c>
      <c r="H826">
        <v>3</v>
      </c>
      <c r="I826" t="s">
        <v>72</v>
      </c>
      <c r="J826">
        <v>1</v>
      </c>
      <c r="K826">
        <v>387</v>
      </c>
    </row>
    <row r="827" spans="1:11" x14ac:dyDescent="0.35">
      <c r="A827" t="s">
        <v>1038</v>
      </c>
      <c r="B827" s="4" t="s">
        <v>1036</v>
      </c>
      <c r="C827">
        <v>9</v>
      </c>
      <c r="D827" t="s">
        <v>45</v>
      </c>
      <c r="E827" s="7">
        <v>-5</v>
      </c>
      <c r="F827">
        <v>-250</v>
      </c>
      <c r="G827">
        <v>1</v>
      </c>
      <c r="I827" t="s">
        <v>46</v>
      </c>
      <c r="J827">
        <v>1</v>
      </c>
      <c r="K827">
        <v>7</v>
      </c>
    </row>
    <row r="828" spans="1:11" x14ac:dyDescent="0.35">
      <c r="A828" t="s">
        <v>1039</v>
      </c>
      <c r="B828" s="4" t="s">
        <v>1036</v>
      </c>
      <c r="C828">
        <v>6</v>
      </c>
      <c r="D828" t="s">
        <v>45</v>
      </c>
      <c r="E828" s="7">
        <v>-7</v>
      </c>
      <c r="F828">
        <v>-350</v>
      </c>
      <c r="G828">
        <v>2</v>
      </c>
      <c r="I828" t="s">
        <v>46</v>
      </c>
      <c r="J828">
        <v>1</v>
      </c>
      <c r="K828">
        <v>25</v>
      </c>
    </row>
    <row r="829" spans="1:11" x14ac:dyDescent="0.35">
      <c r="A829" t="s">
        <v>1040</v>
      </c>
      <c r="B829" s="4" t="s">
        <v>1036</v>
      </c>
      <c r="C829">
        <v>9</v>
      </c>
      <c r="D829" t="s">
        <v>45</v>
      </c>
      <c r="E829" s="7">
        <v>-7</v>
      </c>
      <c r="F829">
        <v>-350</v>
      </c>
      <c r="G829">
        <v>2</v>
      </c>
      <c r="I829" t="s">
        <v>46</v>
      </c>
      <c r="J829">
        <v>1</v>
      </c>
      <c r="K829">
        <v>0</v>
      </c>
    </row>
    <row r="830" spans="1:11" x14ac:dyDescent="0.35">
      <c r="A830" t="s">
        <v>1041</v>
      </c>
      <c r="B830" s="4" t="s">
        <v>1036</v>
      </c>
      <c r="C830">
        <v>6</v>
      </c>
      <c r="D830" t="s">
        <v>45</v>
      </c>
      <c r="E830" s="7">
        <v>-4</v>
      </c>
      <c r="F830">
        <v>-200</v>
      </c>
      <c r="G830">
        <v>3</v>
      </c>
      <c r="I830" t="s">
        <v>46</v>
      </c>
      <c r="J830">
        <v>1</v>
      </c>
      <c r="K830">
        <v>21</v>
      </c>
    </row>
    <row r="831" spans="1:11" x14ac:dyDescent="0.35">
      <c r="A831" t="s">
        <v>1042</v>
      </c>
      <c r="B831" s="4" t="s">
        <v>1043</v>
      </c>
      <c r="C831">
        <v>6</v>
      </c>
      <c r="D831" t="s">
        <v>45</v>
      </c>
      <c r="E831" s="7">
        <v>-6</v>
      </c>
      <c r="F831">
        <v>-300</v>
      </c>
      <c r="G831">
        <v>1</v>
      </c>
      <c r="I831" t="s">
        <v>46</v>
      </c>
      <c r="J831">
        <v>1</v>
      </c>
      <c r="K831">
        <v>15</v>
      </c>
    </row>
    <row r="832" spans="1:11" x14ac:dyDescent="0.35">
      <c r="A832" t="s">
        <v>1044</v>
      </c>
      <c r="B832" s="4" t="s">
        <v>1043</v>
      </c>
      <c r="C832">
        <v>11</v>
      </c>
      <c r="D832" t="s">
        <v>45</v>
      </c>
      <c r="E832" s="7">
        <v>-2</v>
      </c>
      <c r="F832">
        <v>-100</v>
      </c>
      <c r="G832">
        <v>1</v>
      </c>
      <c r="I832" t="s">
        <v>46</v>
      </c>
      <c r="J832">
        <v>1</v>
      </c>
      <c r="K832">
        <v>1</v>
      </c>
    </row>
    <row r="833" spans="1:11" x14ac:dyDescent="0.35">
      <c r="A833" t="s">
        <v>1045</v>
      </c>
      <c r="B833" s="4" t="s">
        <v>1046</v>
      </c>
      <c r="C833">
        <v>6</v>
      </c>
      <c r="D833" t="s">
        <v>45</v>
      </c>
      <c r="E833" s="7">
        <v>-5</v>
      </c>
      <c r="F833">
        <v>-250</v>
      </c>
      <c r="G833">
        <v>1</v>
      </c>
      <c r="I833" t="s">
        <v>46</v>
      </c>
      <c r="J833">
        <v>1</v>
      </c>
      <c r="K833">
        <v>10</v>
      </c>
    </row>
    <row r="834" spans="1:11" x14ac:dyDescent="0.35">
      <c r="A834" t="s">
        <v>1047</v>
      </c>
      <c r="B834" s="4" t="s">
        <v>1046</v>
      </c>
      <c r="C834">
        <v>6</v>
      </c>
      <c r="D834" t="s">
        <v>45</v>
      </c>
      <c r="E834" s="7">
        <v>-6</v>
      </c>
      <c r="F834">
        <v>-300</v>
      </c>
      <c r="G834">
        <v>3</v>
      </c>
      <c r="I834" t="s">
        <v>46</v>
      </c>
      <c r="J834">
        <v>1</v>
      </c>
      <c r="K834">
        <v>4</v>
      </c>
    </row>
    <row r="835" spans="1:11" x14ac:dyDescent="0.35">
      <c r="A835" t="s">
        <v>1048</v>
      </c>
      <c r="B835" s="4" t="s">
        <v>1049</v>
      </c>
      <c r="C835">
        <v>19</v>
      </c>
      <c r="D835" t="s">
        <v>71</v>
      </c>
      <c r="E835" s="7">
        <v>28</v>
      </c>
      <c r="F835">
        <v>1400</v>
      </c>
      <c r="G835">
        <v>4</v>
      </c>
      <c r="H835">
        <v>3</v>
      </c>
      <c r="I835" t="s">
        <v>72</v>
      </c>
      <c r="J835">
        <v>1</v>
      </c>
      <c r="K835">
        <v>198</v>
      </c>
    </row>
    <row r="836" spans="1:11" x14ac:dyDescent="0.35">
      <c r="A836" t="s">
        <v>1050</v>
      </c>
      <c r="B836" s="4" t="s">
        <v>1049</v>
      </c>
      <c r="C836">
        <v>12</v>
      </c>
      <c r="D836" t="s">
        <v>71</v>
      </c>
      <c r="E836" s="7">
        <v>38</v>
      </c>
      <c r="F836">
        <v>1900</v>
      </c>
      <c r="G836">
        <v>4</v>
      </c>
      <c r="H836">
        <v>3</v>
      </c>
      <c r="I836" t="s">
        <v>72</v>
      </c>
      <c r="J836">
        <v>1</v>
      </c>
      <c r="K836">
        <v>39</v>
      </c>
    </row>
    <row r="837" spans="1:11" x14ac:dyDescent="0.35">
      <c r="A837" t="s">
        <v>1051</v>
      </c>
      <c r="B837" s="4" t="s">
        <v>1049</v>
      </c>
      <c r="C837">
        <v>2</v>
      </c>
      <c r="D837" t="s">
        <v>71</v>
      </c>
      <c r="E837" s="7">
        <v>40</v>
      </c>
      <c r="F837">
        <v>2000</v>
      </c>
      <c r="G837">
        <v>4</v>
      </c>
      <c r="H837">
        <v>1</v>
      </c>
      <c r="I837" t="s">
        <v>72</v>
      </c>
      <c r="J837">
        <v>1</v>
      </c>
      <c r="K837">
        <v>245</v>
      </c>
    </row>
    <row r="838" spans="1:11" x14ac:dyDescent="0.35">
      <c r="A838" t="s">
        <v>1052</v>
      </c>
      <c r="B838" s="4" t="s">
        <v>1049</v>
      </c>
      <c r="C838">
        <v>29</v>
      </c>
      <c r="D838" t="s">
        <v>71</v>
      </c>
      <c r="E838" s="7">
        <v>32</v>
      </c>
      <c r="F838">
        <v>1600</v>
      </c>
      <c r="G838">
        <v>4</v>
      </c>
      <c r="H838">
        <v>4</v>
      </c>
      <c r="I838" t="s">
        <v>72</v>
      </c>
      <c r="J838">
        <v>1</v>
      </c>
      <c r="K838">
        <v>376</v>
      </c>
    </row>
    <row r="839" spans="1:11" x14ac:dyDescent="0.35">
      <c r="A839" t="s">
        <v>1053</v>
      </c>
      <c r="B839" s="4" t="s">
        <v>1049</v>
      </c>
      <c r="C839">
        <v>12</v>
      </c>
      <c r="D839" t="s">
        <v>45</v>
      </c>
      <c r="E839" s="7">
        <v>-7</v>
      </c>
      <c r="F839">
        <v>-350</v>
      </c>
      <c r="G839">
        <v>1</v>
      </c>
      <c r="I839" t="s">
        <v>46</v>
      </c>
      <c r="J839">
        <v>1</v>
      </c>
      <c r="K839">
        <v>32</v>
      </c>
    </row>
    <row r="840" spans="1:11" x14ac:dyDescent="0.35">
      <c r="A840" t="s">
        <v>1054</v>
      </c>
      <c r="B840" s="4" t="s">
        <v>1049</v>
      </c>
      <c r="C840">
        <v>6</v>
      </c>
      <c r="D840" t="s">
        <v>45</v>
      </c>
      <c r="E840" s="7">
        <v>-2</v>
      </c>
      <c r="F840">
        <v>-100</v>
      </c>
      <c r="G840">
        <v>3</v>
      </c>
      <c r="I840" t="s">
        <v>46</v>
      </c>
      <c r="J840">
        <v>1</v>
      </c>
      <c r="K840">
        <v>2</v>
      </c>
    </row>
    <row r="841" spans="1:11" x14ac:dyDescent="0.35">
      <c r="A841" t="s">
        <v>1055</v>
      </c>
      <c r="B841" s="4" t="s">
        <v>1056</v>
      </c>
      <c r="C841">
        <v>12</v>
      </c>
      <c r="D841" t="s">
        <v>45</v>
      </c>
      <c r="E841" s="7">
        <v>-4</v>
      </c>
      <c r="F841">
        <v>-200</v>
      </c>
      <c r="G841">
        <v>2</v>
      </c>
      <c r="I841" t="s">
        <v>46</v>
      </c>
      <c r="J841">
        <v>1</v>
      </c>
      <c r="K841">
        <v>28</v>
      </c>
    </row>
    <row r="842" spans="1:11" x14ac:dyDescent="0.35">
      <c r="A842" t="s">
        <v>1057</v>
      </c>
      <c r="B842" s="4" t="s">
        <v>1056</v>
      </c>
      <c r="C842">
        <v>6</v>
      </c>
      <c r="D842" t="s">
        <v>45</v>
      </c>
      <c r="E842" s="7">
        <v>-2</v>
      </c>
      <c r="F842">
        <v>-100</v>
      </c>
      <c r="G842">
        <v>3</v>
      </c>
      <c r="I842" t="s">
        <v>46</v>
      </c>
      <c r="J842">
        <v>1</v>
      </c>
      <c r="K842">
        <v>0</v>
      </c>
    </row>
    <row r="843" spans="1:11" x14ac:dyDescent="0.35">
      <c r="A843" t="s">
        <v>1058</v>
      </c>
      <c r="B843" s="4" t="s">
        <v>1056</v>
      </c>
      <c r="C843">
        <v>12</v>
      </c>
      <c r="D843" t="s">
        <v>45</v>
      </c>
      <c r="E843" s="7">
        <v>-7</v>
      </c>
      <c r="F843">
        <v>-350</v>
      </c>
      <c r="G843">
        <v>3</v>
      </c>
      <c r="I843" t="s">
        <v>46</v>
      </c>
      <c r="J843">
        <v>1</v>
      </c>
      <c r="K843">
        <v>21</v>
      </c>
    </row>
    <row r="844" spans="1:11" x14ac:dyDescent="0.35">
      <c r="A844" t="s">
        <v>1059</v>
      </c>
      <c r="B844" s="4" t="s">
        <v>1060</v>
      </c>
      <c r="C844">
        <v>12</v>
      </c>
      <c r="D844" t="s">
        <v>45</v>
      </c>
      <c r="E844" s="7">
        <v>-2</v>
      </c>
      <c r="F844">
        <v>-100</v>
      </c>
      <c r="G844">
        <v>1</v>
      </c>
      <c r="I844" t="s">
        <v>46</v>
      </c>
      <c r="J844">
        <v>1</v>
      </c>
      <c r="K844">
        <v>19</v>
      </c>
    </row>
    <row r="845" spans="1:11" x14ac:dyDescent="0.35">
      <c r="A845" t="s">
        <v>1061</v>
      </c>
      <c r="B845" s="4" t="s">
        <v>1060</v>
      </c>
      <c r="C845">
        <v>12</v>
      </c>
      <c r="D845" t="s">
        <v>45</v>
      </c>
      <c r="E845" s="7">
        <v>-5</v>
      </c>
      <c r="F845">
        <v>-250</v>
      </c>
      <c r="G845">
        <v>2</v>
      </c>
      <c r="I845" t="s">
        <v>46</v>
      </c>
      <c r="J845">
        <v>1</v>
      </c>
      <c r="K845">
        <v>14</v>
      </c>
    </row>
    <row r="846" spans="1:11" x14ac:dyDescent="0.35">
      <c r="A846" t="s">
        <v>1062</v>
      </c>
      <c r="B846" s="4" t="s">
        <v>1060</v>
      </c>
      <c r="C846">
        <v>12</v>
      </c>
      <c r="D846" t="s">
        <v>45</v>
      </c>
      <c r="E846" s="7">
        <v>-4</v>
      </c>
      <c r="F846">
        <v>-200</v>
      </c>
      <c r="G846">
        <v>3</v>
      </c>
      <c r="I846" t="s">
        <v>46</v>
      </c>
      <c r="J846">
        <v>1</v>
      </c>
      <c r="K846">
        <v>10</v>
      </c>
    </row>
    <row r="847" spans="1:11" x14ac:dyDescent="0.35">
      <c r="A847" t="s">
        <v>1063</v>
      </c>
      <c r="B847" s="4" t="s">
        <v>1064</v>
      </c>
      <c r="C847">
        <v>12</v>
      </c>
      <c r="D847" t="s">
        <v>45</v>
      </c>
      <c r="E847" s="7">
        <v>-3</v>
      </c>
      <c r="F847">
        <v>-150</v>
      </c>
      <c r="G847">
        <v>1</v>
      </c>
      <c r="I847" t="s">
        <v>46</v>
      </c>
      <c r="J847">
        <v>1</v>
      </c>
      <c r="K847">
        <v>7</v>
      </c>
    </row>
    <row r="848" spans="1:11" x14ac:dyDescent="0.35">
      <c r="A848" t="s">
        <v>1065</v>
      </c>
      <c r="B848" s="4" t="s">
        <v>1064</v>
      </c>
      <c r="C848">
        <v>12</v>
      </c>
      <c r="D848" t="s">
        <v>45</v>
      </c>
      <c r="E848" s="7">
        <v>-4</v>
      </c>
      <c r="F848">
        <v>-200</v>
      </c>
      <c r="G848">
        <v>2</v>
      </c>
      <c r="I848" t="s">
        <v>46</v>
      </c>
      <c r="J848">
        <v>1</v>
      </c>
      <c r="K848">
        <v>3</v>
      </c>
    </row>
    <row r="849" spans="1:11" x14ac:dyDescent="0.35">
      <c r="A849" t="s">
        <v>1066</v>
      </c>
      <c r="B849" s="4" t="s">
        <v>1067</v>
      </c>
      <c r="C849">
        <v>12</v>
      </c>
      <c r="D849" t="s">
        <v>45</v>
      </c>
      <c r="E849" s="7">
        <v>-3</v>
      </c>
      <c r="F849">
        <v>-150</v>
      </c>
      <c r="G849">
        <v>2</v>
      </c>
      <c r="I849" t="s">
        <v>46</v>
      </c>
      <c r="J849">
        <v>1</v>
      </c>
      <c r="K849">
        <v>0</v>
      </c>
    </row>
    <row r="850" spans="1:11" x14ac:dyDescent="0.35">
      <c r="A850" t="s">
        <v>1068</v>
      </c>
      <c r="B850" s="4" t="s">
        <v>1069</v>
      </c>
      <c r="C850">
        <v>31</v>
      </c>
      <c r="D850" t="s">
        <v>71</v>
      </c>
      <c r="E850" s="7">
        <v>31</v>
      </c>
      <c r="F850">
        <v>1550</v>
      </c>
      <c r="G850">
        <v>4</v>
      </c>
      <c r="H850">
        <v>3</v>
      </c>
      <c r="I850" t="s">
        <v>72</v>
      </c>
      <c r="J850">
        <v>1</v>
      </c>
      <c r="K850">
        <v>418</v>
      </c>
    </row>
    <row r="851" spans="1:11" x14ac:dyDescent="0.35">
      <c r="A851" t="s">
        <v>1070</v>
      </c>
      <c r="B851" s="4" t="s">
        <v>1069</v>
      </c>
      <c r="C851">
        <v>1</v>
      </c>
      <c r="D851" t="s">
        <v>71</v>
      </c>
      <c r="E851" s="7">
        <v>45</v>
      </c>
      <c r="F851">
        <v>2250</v>
      </c>
      <c r="G851">
        <v>4</v>
      </c>
      <c r="H851">
        <v>1</v>
      </c>
      <c r="I851" t="s">
        <v>72</v>
      </c>
      <c r="J851">
        <v>1</v>
      </c>
      <c r="K851">
        <v>45</v>
      </c>
    </row>
    <row r="852" spans="1:11" x14ac:dyDescent="0.35">
      <c r="A852" t="s">
        <v>1071</v>
      </c>
      <c r="B852" s="4" t="s">
        <v>1069</v>
      </c>
      <c r="C852">
        <v>18</v>
      </c>
      <c r="D852" t="s">
        <v>71</v>
      </c>
      <c r="E852" s="7">
        <v>47</v>
      </c>
      <c r="F852">
        <v>2350</v>
      </c>
      <c r="G852">
        <v>4</v>
      </c>
      <c r="H852">
        <v>4</v>
      </c>
      <c r="I852" t="s">
        <v>72</v>
      </c>
      <c r="J852">
        <v>1</v>
      </c>
      <c r="K852">
        <v>312</v>
      </c>
    </row>
    <row r="853" spans="1:11" x14ac:dyDescent="0.35">
      <c r="A853" t="s">
        <v>1072</v>
      </c>
      <c r="B853" s="4" t="s">
        <v>1069</v>
      </c>
      <c r="C853">
        <v>1</v>
      </c>
      <c r="D853" t="s">
        <v>45</v>
      </c>
      <c r="E853" s="7">
        <v>-3</v>
      </c>
      <c r="F853">
        <v>-75</v>
      </c>
      <c r="G853">
        <v>2</v>
      </c>
      <c r="I853" t="s">
        <v>54</v>
      </c>
      <c r="J853">
        <v>1</v>
      </c>
      <c r="K853">
        <v>42</v>
      </c>
    </row>
    <row r="854" spans="1:11" x14ac:dyDescent="0.35">
      <c r="A854" t="s">
        <v>1073</v>
      </c>
      <c r="B854" s="4" t="s">
        <v>1074</v>
      </c>
      <c r="C854">
        <v>1</v>
      </c>
      <c r="D854" t="s">
        <v>45</v>
      </c>
      <c r="E854" s="7">
        <v>-1</v>
      </c>
      <c r="F854">
        <v>-25</v>
      </c>
      <c r="G854">
        <v>1</v>
      </c>
      <c r="I854" t="s">
        <v>46</v>
      </c>
      <c r="J854">
        <v>1</v>
      </c>
      <c r="K854">
        <v>41</v>
      </c>
    </row>
    <row r="855" spans="1:11" x14ac:dyDescent="0.35">
      <c r="A855" t="s">
        <v>1075</v>
      </c>
      <c r="B855" s="4" t="s">
        <v>1074</v>
      </c>
      <c r="C855">
        <v>1</v>
      </c>
      <c r="D855" t="s">
        <v>45</v>
      </c>
      <c r="E855" s="7">
        <v>-3</v>
      </c>
      <c r="F855">
        <v>-75</v>
      </c>
      <c r="G855">
        <v>2</v>
      </c>
      <c r="I855" t="s">
        <v>54</v>
      </c>
      <c r="J855">
        <v>1</v>
      </c>
      <c r="K855">
        <v>38</v>
      </c>
    </row>
    <row r="856" spans="1:11" x14ac:dyDescent="0.35">
      <c r="A856" t="s">
        <v>1076</v>
      </c>
      <c r="B856" s="4" t="s">
        <v>1077</v>
      </c>
      <c r="C856">
        <v>1</v>
      </c>
      <c r="D856" t="s">
        <v>45</v>
      </c>
      <c r="E856" s="7">
        <v>-2</v>
      </c>
      <c r="F856">
        <v>-50</v>
      </c>
      <c r="G856">
        <v>2</v>
      </c>
      <c r="I856" t="s">
        <v>54</v>
      </c>
      <c r="J856">
        <v>1</v>
      </c>
      <c r="K856">
        <v>36</v>
      </c>
    </row>
    <row r="857" spans="1:11" x14ac:dyDescent="0.35">
      <c r="A857" t="s">
        <v>1078</v>
      </c>
      <c r="B857" s="4" t="s">
        <v>1077</v>
      </c>
      <c r="C857">
        <v>1</v>
      </c>
      <c r="D857" t="s">
        <v>45</v>
      </c>
      <c r="E857" s="7">
        <v>-3</v>
      </c>
      <c r="F857">
        <v>-75</v>
      </c>
      <c r="G857">
        <v>3</v>
      </c>
      <c r="I857" t="s">
        <v>62</v>
      </c>
      <c r="J857">
        <v>1</v>
      </c>
      <c r="K857">
        <v>33</v>
      </c>
    </row>
    <row r="858" spans="1:11" x14ac:dyDescent="0.35">
      <c r="A858" t="s">
        <v>1079</v>
      </c>
      <c r="B858" s="4" t="s">
        <v>1080</v>
      </c>
      <c r="C858">
        <v>1</v>
      </c>
      <c r="D858" t="s">
        <v>45</v>
      </c>
      <c r="E858" s="7">
        <v>-3</v>
      </c>
      <c r="F858">
        <v>-75</v>
      </c>
      <c r="G858">
        <v>2</v>
      </c>
      <c r="I858" t="s">
        <v>54</v>
      </c>
      <c r="J858">
        <v>1</v>
      </c>
      <c r="K858">
        <v>30</v>
      </c>
    </row>
    <row r="859" spans="1:11" x14ac:dyDescent="0.35">
      <c r="A859" t="s">
        <v>1081</v>
      </c>
      <c r="B859" s="4" t="s">
        <v>1080</v>
      </c>
      <c r="C859">
        <v>1</v>
      </c>
      <c r="D859" t="s">
        <v>45</v>
      </c>
      <c r="E859" s="7">
        <v>-5</v>
      </c>
      <c r="F859">
        <v>-125</v>
      </c>
      <c r="G859">
        <v>3</v>
      </c>
      <c r="I859" t="s">
        <v>62</v>
      </c>
      <c r="J859">
        <v>1</v>
      </c>
      <c r="K859">
        <v>25</v>
      </c>
    </row>
    <row r="860" spans="1:11" x14ac:dyDescent="0.35">
      <c r="A860" t="s">
        <v>1082</v>
      </c>
      <c r="B860" s="4" t="s">
        <v>1083</v>
      </c>
      <c r="C860">
        <v>15</v>
      </c>
      <c r="D860" t="s">
        <v>71</v>
      </c>
      <c r="E860" s="7">
        <v>23</v>
      </c>
      <c r="F860">
        <v>1150</v>
      </c>
      <c r="G860">
        <v>4</v>
      </c>
      <c r="H860">
        <v>1</v>
      </c>
      <c r="I860" t="s">
        <v>72</v>
      </c>
      <c r="J860">
        <v>1</v>
      </c>
      <c r="K860">
        <v>436</v>
      </c>
    </row>
    <row r="861" spans="1:11" x14ac:dyDescent="0.35">
      <c r="A861" t="s">
        <v>1084</v>
      </c>
      <c r="B861" s="4" t="s">
        <v>1083</v>
      </c>
      <c r="C861">
        <v>30</v>
      </c>
      <c r="D861" t="s">
        <v>71</v>
      </c>
      <c r="E861" s="7">
        <v>24</v>
      </c>
      <c r="F861">
        <v>1200</v>
      </c>
      <c r="G861">
        <v>4</v>
      </c>
      <c r="H861">
        <v>2</v>
      </c>
      <c r="I861" t="s">
        <v>72</v>
      </c>
      <c r="J861">
        <v>1</v>
      </c>
      <c r="K861">
        <v>412</v>
      </c>
    </row>
    <row r="862" spans="1:11" x14ac:dyDescent="0.35">
      <c r="A862" t="s">
        <v>1085</v>
      </c>
      <c r="B862" s="4" t="s">
        <v>1083</v>
      </c>
      <c r="C862">
        <v>1</v>
      </c>
      <c r="D862" t="s">
        <v>45</v>
      </c>
      <c r="E862" s="7">
        <v>-5</v>
      </c>
      <c r="F862">
        <v>-125</v>
      </c>
      <c r="G862">
        <v>1</v>
      </c>
      <c r="I862" t="s">
        <v>46</v>
      </c>
      <c r="J862">
        <v>1</v>
      </c>
      <c r="K862">
        <v>20</v>
      </c>
    </row>
    <row r="863" spans="1:11" x14ac:dyDescent="0.35">
      <c r="A863" t="s">
        <v>1086</v>
      </c>
      <c r="B863" s="4" t="s">
        <v>1087</v>
      </c>
      <c r="C863">
        <v>1</v>
      </c>
      <c r="D863" t="s">
        <v>45</v>
      </c>
      <c r="E863" s="7">
        <v>-1</v>
      </c>
      <c r="F863">
        <v>-25</v>
      </c>
      <c r="G863">
        <v>1</v>
      </c>
      <c r="I863" t="s">
        <v>46</v>
      </c>
      <c r="J863">
        <v>1</v>
      </c>
      <c r="K863">
        <v>19</v>
      </c>
    </row>
    <row r="864" spans="1:11" x14ac:dyDescent="0.35">
      <c r="A864" t="s">
        <v>1088</v>
      </c>
      <c r="B864" s="4" t="s">
        <v>1089</v>
      </c>
      <c r="C864">
        <v>8</v>
      </c>
      <c r="D864" t="s">
        <v>71</v>
      </c>
      <c r="E864" s="7">
        <v>34</v>
      </c>
      <c r="F864">
        <v>1700</v>
      </c>
      <c r="G864">
        <v>4</v>
      </c>
      <c r="H864">
        <v>4</v>
      </c>
      <c r="I864" t="s">
        <v>72</v>
      </c>
      <c r="J864">
        <v>1</v>
      </c>
      <c r="K864">
        <v>35</v>
      </c>
    </row>
    <row r="865" spans="1:11" x14ac:dyDescent="0.35">
      <c r="A865" t="s">
        <v>1090</v>
      </c>
      <c r="B865" s="4" t="s">
        <v>1089</v>
      </c>
      <c r="C865">
        <v>4</v>
      </c>
      <c r="D865" t="s">
        <v>71</v>
      </c>
      <c r="E865" s="7">
        <v>38</v>
      </c>
      <c r="F865">
        <v>1900</v>
      </c>
      <c r="G865">
        <v>4</v>
      </c>
      <c r="H865">
        <v>3</v>
      </c>
      <c r="I865" t="s">
        <v>72</v>
      </c>
      <c r="J865">
        <v>1</v>
      </c>
      <c r="K865">
        <v>38</v>
      </c>
    </row>
    <row r="866" spans="1:11" x14ac:dyDescent="0.35">
      <c r="A866" t="s">
        <v>1091</v>
      </c>
      <c r="B866" s="4" t="s">
        <v>1089</v>
      </c>
      <c r="C866">
        <v>4</v>
      </c>
      <c r="D866" t="s">
        <v>45</v>
      </c>
      <c r="E866" s="7">
        <v>-4</v>
      </c>
      <c r="F866">
        <v>-200</v>
      </c>
      <c r="G866">
        <v>1</v>
      </c>
      <c r="I866" t="s">
        <v>46</v>
      </c>
      <c r="J866">
        <v>1</v>
      </c>
      <c r="K866">
        <v>34</v>
      </c>
    </row>
    <row r="867" spans="1:11" x14ac:dyDescent="0.35">
      <c r="A867" t="s">
        <v>1092</v>
      </c>
      <c r="B867" s="4" t="s">
        <v>1089</v>
      </c>
      <c r="C867">
        <v>1</v>
      </c>
      <c r="D867" t="s">
        <v>45</v>
      </c>
      <c r="E867" s="7">
        <v>-5</v>
      </c>
      <c r="F867">
        <v>-125</v>
      </c>
      <c r="G867">
        <v>3</v>
      </c>
      <c r="I867" t="s">
        <v>62</v>
      </c>
      <c r="J867">
        <v>1</v>
      </c>
      <c r="K867">
        <v>14</v>
      </c>
    </row>
    <row r="868" spans="1:11" x14ac:dyDescent="0.35">
      <c r="A868" t="s">
        <v>1093</v>
      </c>
      <c r="B868" s="4" t="s">
        <v>1089</v>
      </c>
      <c r="C868">
        <v>4</v>
      </c>
      <c r="D868" t="s">
        <v>45</v>
      </c>
      <c r="E868" s="7">
        <v>-6</v>
      </c>
      <c r="F868">
        <v>-300</v>
      </c>
      <c r="G868">
        <v>3</v>
      </c>
      <c r="I868" t="s">
        <v>46</v>
      </c>
      <c r="J868">
        <v>1</v>
      </c>
      <c r="K868">
        <v>28</v>
      </c>
    </row>
    <row r="869" spans="1:11" x14ac:dyDescent="0.35">
      <c r="A869" t="s">
        <v>1094</v>
      </c>
      <c r="B869" s="4" t="s">
        <v>1095</v>
      </c>
      <c r="C869">
        <v>8</v>
      </c>
      <c r="D869" t="s">
        <v>45</v>
      </c>
      <c r="E869" s="7">
        <v>-5</v>
      </c>
      <c r="F869">
        <v>-250</v>
      </c>
      <c r="G869">
        <v>1</v>
      </c>
      <c r="I869" t="s">
        <v>46</v>
      </c>
      <c r="J869">
        <v>1</v>
      </c>
      <c r="K869">
        <v>30</v>
      </c>
    </row>
    <row r="870" spans="1:11" x14ac:dyDescent="0.35">
      <c r="A870" t="s">
        <v>1096</v>
      </c>
      <c r="B870" s="4" t="s">
        <v>1095</v>
      </c>
      <c r="C870">
        <v>4</v>
      </c>
      <c r="D870" t="s">
        <v>45</v>
      </c>
      <c r="E870" s="7">
        <v>-2</v>
      </c>
      <c r="F870">
        <v>-100</v>
      </c>
      <c r="G870">
        <v>2</v>
      </c>
      <c r="I870" t="s">
        <v>46</v>
      </c>
      <c r="J870">
        <v>1</v>
      </c>
      <c r="K870">
        <v>26</v>
      </c>
    </row>
    <row r="871" spans="1:11" x14ac:dyDescent="0.35">
      <c r="A871" t="s">
        <v>1097</v>
      </c>
      <c r="B871" s="4" t="s">
        <v>1095</v>
      </c>
      <c r="C871">
        <v>8</v>
      </c>
      <c r="D871" t="s">
        <v>45</v>
      </c>
      <c r="E871" s="7">
        <v>-7</v>
      </c>
      <c r="F871">
        <v>-350</v>
      </c>
      <c r="G871">
        <v>2</v>
      </c>
      <c r="I871" t="s">
        <v>46</v>
      </c>
      <c r="J871">
        <v>1</v>
      </c>
      <c r="K871">
        <v>23</v>
      </c>
    </row>
    <row r="872" spans="1:11" x14ac:dyDescent="0.35">
      <c r="A872" t="s">
        <v>1098</v>
      </c>
      <c r="B872" s="4" t="s">
        <v>1095</v>
      </c>
      <c r="C872">
        <v>4</v>
      </c>
      <c r="D872" t="s">
        <v>45</v>
      </c>
      <c r="E872" s="7">
        <v>-7</v>
      </c>
      <c r="F872">
        <v>-350</v>
      </c>
      <c r="G872">
        <v>3</v>
      </c>
      <c r="I872" t="s">
        <v>46</v>
      </c>
      <c r="J872">
        <v>1</v>
      </c>
      <c r="K872">
        <v>19</v>
      </c>
    </row>
    <row r="873" spans="1:11" x14ac:dyDescent="0.35">
      <c r="A873" t="s">
        <v>1099</v>
      </c>
      <c r="B873" s="4" t="s">
        <v>1095</v>
      </c>
      <c r="C873">
        <v>8</v>
      </c>
      <c r="D873" t="s">
        <v>45</v>
      </c>
      <c r="E873" s="7">
        <v>-7</v>
      </c>
      <c r="F873">
        <v>-350</v>
      </c>
      <c r="G873">
        <v>3</v>
      </c>
      <c r="I873" t="s">
        <v>46</v>
      </c>
      <c r="J873">
        <v>1</v>
      </c>
      <c r="K873">
        <v>16</v>
      </c>
    </row>
    <row r="874" spans="1:11" x14ac:dyDescent="0.35">
      <c r="A874" t="s">
        <v>1100</v>
      </c>
      <c r="B874" s="4" t="s">
        <v>1101</v>
      </c>
      <c r="C874">
        <v>1</v>
      </c>
      <c r="D874" t="s">
        <v>45</v>
      </c>
      <c r="E874" s="7">
        <v>-2</v>
      </c>
      <c r="F874">
        <v>-50</v>
      </c>
      <c r="G874">
        <v>1</v>
      </c>
      <c r="I874" t="s">
        <v>46</v>
      </c>
      <c r="J874">
        <v>1</v>
      </c>
      <c r="K874">
        <v>12</v>
      </c>
    </row>
    <row r="875" spans="1:11" x14ac:dyDescent="0.35">
      <c r="A875" t="s">
        <v>1102</v>
      </c>
      <c r="B875" s="4" t="s">
        <v>1101</v>
      </c>
      <c r="C875">
        <v>4</v>
      </c>
      <c r="D875" t="s">
        <v>45</v>
      </c>
      <c r="E875" s="7">
        <v>-7</v>
      </c>
      <c r="F875">
        <v>-350</v>
      </c>
      <c r="G875">
        <v>1</v>
      </c>
      <c r="I875" t="s">
        <v>46</v>
      </c>
      <c r="J875">
        <v>1</v>
      </c>
      <c r="K875">
        <v>12</v>
      </c>
    </row>
    <row r="876" spans="1:11" x14ac:dyDescent="0.35">
      <c r="A876" t="s">
        <v>1103</v>
      </c>
      <c r="B876" s="4" t="s">
        <v>1101</v>
      </c>
      <c r="C876">
        <v>8</v>
      </c>
      <c r="D876" t="s">
        <v>45</v>
      </c>
      <c r="E876" s="7">
        <v>-2</v>
      </c>
      <c r="F876">
        <v>-100</v>
      </c>
      <c r="G876">
        <v>1</v>
      </c>
      <c r="I876" t="s">
        <v>46</v>
      </c>
      <c r="J876">
        <v>1</v>
      </c>
      <c r="K876">
        <v>14</v>
      </c>
    </row>
    <row r="877" spans="1:11" x14ac:dyDescent="0.35">
      <c r="A877" t="s">
        <v>1104</v>
      </c>
      <c r="B877" s="4" t="s">
        <v>1101</v>
      </c>
      <c r="C877">
        <v>1</v>
      </c>
      <c r="D877" t="s">
        <v>45</v>
      </c>
      <c r="E877" s="7">
        <v>-3</v>
      </c>
      <c r="F877">
        <v>-75</v>
      </c>
      <c r="G877">
        <v>3</v>
      </c>
      <c r="I877" t="s">
        <v>62</v>
      </c>
      <c r="J877">
        <v>1</v>
      </c>
      <c r="K877">
        <v>9</v>
      </c>
    </row>
    <row r="878" spans="1:11" x14ac:dyDescent="0.35">
      <c r="A878" t="s">
        <v>1105</v>
      </c>
      <c r="B878" s="4" t="s">
        <v>1101</v>
      </c>
      <c r="C878">
        <v>4</v>
      </c>
      <c r="D878" t="s">
        <v>45</v>
      </c>
      <c r="E878" s="7">
        <v>-4</v>
      </c>
      <c r="F878">
        <v>-200</v>
      </c>
      <c r="G878">
        <v>3</v>
      </c>
      <c r="I878" t="s">
        <v>46</v>
      </c>
      <c r="J878">
        <v>1</v>
      </c>
      <c r="K878">
        <v>8</v>
      </c>
    </row>
    <row r="879" spans="1:11" x14ac:dyDescent="0.35">
      <c r="A879" t="s">
        <v>1106</v>
      </c>
      <c r="B879" s="4" t="s">
        <v>1101</v>
      </c>
      <c r="C879">
        <v>8</v>
      </c>
      <c r="D879" t="s">
        <v>45</v>
      </c>
      <c r="E879" s="7">
        <v>-5</v>
      </c>
      <c r="F879">
        <v>-250</v>
      </c>
      <c r="G879">
        <v>3</v>
      </c>
      <c r="I879" t="s">
        <v>46</v>
      </c>
      <c r="J879">
        <v>1</v>
      </c>
      <c r="K879">
        <v>9</v>
      </c>
    </row>
    <row r="880" spans="1:11" x14ac:dyDescent="0.35">
      <c r="A880" t="s">
        <v>1107</v>
      </c>
      <c r="B880" s="4" t="s">
        <v>1108</v>
      </c>
      <c r="C880">
        <v>23</v>
      </c>
      <c r="D880" t="s">
        <v>71</v>
      </c>
      <c r="E880" s="7">
        <v>42</v>
      </c>
      <c r="F880">
        <v>2100</v>
      </c>
      <c r="G880">
        <v>4</v>
      </c>
      <c r="H880">
        <v>2</v>
      </c>
      <c r="I880" t="s">
        <v>72</v>
      </c>
      <c r="J880">
        <v>1</v>
      </c>
      <c r="K880">
        <v>400</v>
      </c>
    </row>
    <row r="881" spans="1:11" x14ac:dyDescent="0.35">
      <c r="A881" t="s">
        <v>1109</v>
      </c>
      <c r="B881" s="4" t="s">
        <v>1108</v>
      </c>
      <c r="C881">
        <v>15</v>
      </c>
      <c r="D881" t="s">
        <v>71</v>
      </c>
      <c r="E881" s="7">
        <v>23</v>
      </c>
      <c r="F881">
        <v>1150</v>
      </c>
      <c r="G881">
        <v>4</v>
      </c>
      <c r="H881">
        <v>1</v>
      </c>
      <c r="I881" t="s">
        <v>72</v>
      </c>
      <c r="J881">
        <v>1</v>
      </c>
      <c r="K881">
        <v>459</v>
      </c>
    </row>
    <row r="882" spans="1:11" x14ac:dyDescent="0.35">
      <c r="A882" t="s">
        <v>1110</v>
      </c>
      <c r="B882" s="4" t="s">
        <v>1108</v>
      </c>
      <c r="C882">
        <v>1</v>
      </c>
      <c r="D882" t="s">
        <v>45</v>
      </c>
      <c r="E882" s="7">
        <v>-2</v>
      </c>
      <c r="F882">
        <v>-50</v>
      </c>
      <c r="G882">
        <v>1</v>
      </c>
      <c r="I882" t="s">
        <v>46</v>
      </c>
      <c r="J882">
        <v>1</v>
      </c>
      <c r="K882">
        <v>7</v>
      </c>
    </row>
    <row r="883" spans="1:11" x14ac:dyDescent="0.35">
      <c r="A883" t="s">
        <v>1111</v>
      </c>
      <c r="B883" s="4" t="s">
        <v>1108</v>
      </c>
      <c r="C883">
        <v>4</v>
      </c>
      <c r="D883" t="s">
        <v>45</v>
      </c>
      <c r="E883" s="7">
        <v>-4</v>
      </c>
      <c r="F883">
        <v>-200</v>
      </c>
      <c r="G883">
        <v>1</v>
      </c>
      <c r="I883" t="s">
        <v>46</v>
      </c>
      <c r="J883">
        <v>1</v>
      </c>
      <c r="K883">
        <v>4</v>
      </c>
    </row>
    <row r="884" spans="1:11" x14ac:dyDescent="0.35">
      <c r="A884" t="s">
        <v>1112</v>
      </c>
      <c r="B884" s="4" t="s">
        <v>1108</v>
      </c>
      <c r="C884">
        <v>8</v>
      </c>
      <c r="D884" t="s">
        <v>45</v>
      </c>
      <c r="E884" s="7">
        <v>-6</v>
      </c>
      <c r="F884">
        <v>-300</v>
      </c>
      <c r="G884">
        <v>2</v>
      </c>
      <c r="I884" t="s">
        <v>46</v>
      </c>
      <c r="J884">
        <v>1</v>
      </c>
      <c r="K884">
        <v>3</v>
      </c>
    </row>
    <row r="885" spans="1:11" x14ac:dyDescent="0.35">
      <c r="A885" t="s">
        <v>1113</v>
      </c>
      <c r="B885" s="4" t="s">
        <v>1108</v>
      </c>
      <c r="C885">
        <v>1</v>
      </c>
      <c r="D885" t="s">
        <v>45</v>
      </c>
      <c r="E885" s="7">
        <v>-4</v>
      </c>
      <c r="F885">
        <v>-100</v>
      </c>
      <c r="G885">
        <v>3</v>
      </c>
      <c r="I885" t="s">
        <v>62</v>
      </c>
      <c r="J885">
        <v>1</v>
      </c>
      <c r="K885">
        <v>3</v>
      </c>
    </row>
    <row r="886" spans="1:11" x14ac:dyDescent="0.35">
      <c r="A886" t="s">
        <v>1114</v>
      </c>
      <c r="B886" s="4" t="s">
        <v>1108</v>
      </c>
      <c r="C886">
        <v>4</v>
      </c>
      <c r="D886" t="s">
        <v>45</v>
      </c>
      <c r="E886" s="7">
        <v>-2</v>
      </c>
      <c r="F886">
        <v>-100</v>
      </c>
      <c r="G886">
        <v>3</v>
      </c>
      <c r="I886" t="s">
        <v>46</v>
      </c>
      <c r="J886">
        <v>1</v>
      </c>
      <c r="K886">
        <v>2</v>
      </c>
    </row>
    <row r="887" spans="1:11" x14ac:dyDescent="0.35">
      <c r="A887" t="s">
        <v>1115</v>
      </c>
      <c r="B887" s="4" t="s">
        <v>1116</v>
      </c>
      <c r="C887">
        <v>1</v>
      </c>
      <c r="D887" t="s">
        <v>45</v>
      </c>
      <c r="E887" s="7">
        <v>-2</v>
      </c>
      <c r="F887">
        <v>-50</v>
      </c>
      <c r="G887">
        <v>3</v>
      </c>
      <c r="I887" t="s">
        <v>62</v>
      </c>
      <c r="J887">
        <v>1</v>
      </c>
      <c r="K887">
        <v>1</v>
      </c>
    </row>
    <row r="888" spans="1:11" x14ac:dyDescent="0.35">
      <c r="A888" t="s">
        <v>1117</v>
      </c>
      <c r="B888" s="4" t="s">
        <v>1118</v>
      </c>
      <c r="C888">
        <v>4</v>
      </c>
      <c r="D888" t="s">
        <v>45</v>
      </c>
      <c r="E888" s="7">
        <v>-2</v>
      </c>
      <c r="F888">
        <v>-100</v>
      </c>
      <c r="G888">
        <v>1</v>
      </c>
      <c r="I888" t="s">
        <v>46</v>
      </c>
      <c r="J888">
        <v>1</v>
      </c>
      <c r="K888">
        <v>0</v>
      </c>
    </row>
    <row r="889" spans="1:11" x14ac:dyDescent="0.35">
      <c r="A889" t="s">
        <v>1119</v>
      </c>
      <c r="B889" s="4" t="s">
        <v>1120</v>
      </c>
      <c r="C889">
        <v>8</v>
      </c>
      <c r="D889" t="s">
        <v>45</v>
      </c>
      <c r="E889" s="7">
        <v>-2</v>
      </c>
      <c r="F889">
        <v>-100</v>
      </c>
      <c r="G889">
        <v>2</v>
      </c>
      <c r="I889" t="s">
        <v>46</v>
      </c>
      <c r="J889">
        <v>1</v>
      </c>
      <c r="K889">
        <v>1</v>
      </c>
    </row>
    <row r="890" spans="1:11" x14ac:dyDescent="0.35">
      <c r="A890" t="s">
        <v>1121</v>
      </c>
      <c r="B890" s="4" t="s">
        <v>1122</v>
      </c>
      <c r="C890">
        <v>15</v>
      </c>
      <c r="D890" t="s">
        <v>71</v>
      </c>
      <c r="E890" s="7">
        <v>28</v>
      </c>
      <c r="F890">
        <v>1400</v>
      </c>
      <c r="G890">
        <v>4</v>
      </c>
      <c r="H890">
        <v>1</v>
      </c>
      <c r="I890" t="s">
        <v>72</v>
      </c>
      <c r="J890">
        <v>1</v>
      </c>
      <c r="K890">
        <v>487</v>
      </c>
    </row>
    <row r="891" spans="1:11" x14ac:dyDescent="0.35">
      <c r="A891" t="s">
        <v>1123</v>
      </c>
      <c r="B891" s="4" t="s">
        <v>1122</v>
      </c>
      <c r="C891">
        <v>21</v>
      </c>
      <c r="D891" t="s">
        <v>71</v>
      </c>
      <c r="E891" s="7">
        <v>39</v>
      </c>
      <c r="F891">
        <v>1950</v>
      </c>
      <c r="G891">
        <v>4</v>
      </c>
      <c r="H891">
        <v>3</v>
      </c>
      <c r="I891" t="s">
        <v>72</v>
      </c>
      <c r="J891">
        <v>1</v>
      </c>
      <c r="K891">
        <v>211</v>
      </c>
    </row>
    <row r="892" spans="1:11" x14ac:dyDescent="0.35">
      <c r="A892" t="s">
        <v>1124</v>
      </c>
      <c r="B892" s="4" t="s">
        <v>1122</v>
      </c>
      <c r="C892">
        <v>35</v>
      </c>
      <c r="D892" t="s">
        <v>71</v>
      </c>
      <c r="E892" s="7">
        <v>48</v>
      </c>
      <c r="F892">
        <v>2400</v>
      </c>
      <c r="G892">
        <v>4</v>
      </c>
      <c r="H892">
        <v>3</v>
      </c>
      <c r="I892" t="s">
        <v>72</v>
      </c>
      <c r="J892">
        <v>1</v>
      </c>
      <c r="K892">
        <v>218</v>
      </c>
    </row>
    <row r="893" spans="1:11" x14ac:dyDescent="0.35">
      <c r="A893" t="s">
        <v>1125</v>
      </c>
      <c r="B893" s="4" t="s">
        <v>1122</v>
      </c>
      <c r="C893">
        <v>33</v>
      </c>
      <c r="D893" t="s">
        <v>71</v>
      </c>
      <c r="E893" s="7">
        <v>27</v>
      </c>
      <c r="F893">
        <v>1350</v>
      </c>
      <c r="G893">
        <v>4</v>
      </c>
      <c r="H893">
        <v>4</v>
      </c>
      <c r="I893" t="s">
        <v>72</v>
      </c>
      <c r="J893">
        <v>1</v>
      </c>
      <c r="K893">
        <v>405</v>
      </c>
    </row>
    <row r="894" spans="1:11" x14ac:dyDescent="0.35">
      <c r="A894" t="s">
        <v>1126</v>
      </c>
      <c r="B894" s="4" t="s">
        <v>1122</v>
      </c>
      <c r="C894">
        <v>10</v>
      </c>
      <c r="D894" t="s">
        <v>71</v>
      </c>
      <c r="E894" s="7">
        <v>30</v>
      </c>
      <c r="F894">
        <v>1500</v>
      </c>
      <c r="G894">
        <v>4</v>
      </c>
      <c r="H894">
        <v>3</v>
      </c>
      <c r="I894" t="s">
        <v>72</v>
      </c>
      <c r="J894">
        <v>1</v>
      </c>
      <c r="K894">
        <v>30</v>
      </c>
    </row>
    <row r="895" spans="1:11" x14ac:dyDescent="0.35">
      <c r="A895" t="s">
        <v>1127</v>
      </c>
      <c r="B895" s="4" t="s">
        <v>1122</v>
      </c>
      <c r="C895">
        <v>10</v>
      </c>
      <c r="D895" t="s">
        <v>45</v>
      </c>
      <c r="E895" s="7">
        <v>-2</v>
      </c>
      <c r="F895">
        <v>-100</v>
      </c>
      <c r="G895">
        <v>2</v>
      </c>
      <c r="I895" t="s">
        <v>46</v>
      </c>
      <c r="J895">
        <v>1</v>
      </c>
      <c r="K895">
        <v>28</v>
      </c>
    </row>
    <row r="896" spans="1:11" x14ac:dyDescent="0.35">
      <c r="A896" t="s">
        <v>1128</v>
      </c>
      <c r="B896" s="4" t="s">
        <v>1129</v>
      </c>
      <c r="C896">
        <v>10</v>
      </c>
      <c r="D896" t="s">
        <v>45</v>
      </c>
      <c r="E896" s="7">
        <v>-2</v>
      </c>
      <c r="F896">
        <v>-100</v>
      </c>
      <c r="G896">
        <v>2</v>
      </c>
      <c r="I896" t="s">
        <v>46</v>
      </c>
      <c r="J896">
        <v>1</v>
      </c>
      <c r="K896">
        <v>26</v>
      </c>
    </row>
    <row r="897" spans="1:11" x14ac:dyDescent="0.35">
      <c r="A897" t="s">
        <v>1130</v>
      </c>
      <c r="B897" s="4" t="s">
        <v>1129</v>
      </c>
      <c r="C897">
        <v>10</v>
      </c>
      <c r="D897" t="s">
        <v>45</v>
      </c>
      <c r="E897" s="7">
        <v>-5</v>
      </c>
      <c r="F897">
        <v>-250</v>
      </c>
      <c r="G897">
        <v>3</v>
      </c>
      <c r="I897" t="s">
        <v>46</v>
      </c>
      <c r="J897">
        <v>1</v>
      </c>
      <c r="K897">
        <v>21</v>
      </c>
    </row>
    <row r="898" spans="1:11" x14ac:dyDescent="0.35">
      <c r="A898" t="s">
        <v>1131</v>
      </c>
      <c r="B898" s="4" t="s">
        <v>1132</v>
      </c>
      <c r="C898">
        <v>10</v>
      </c>
      <c r="D898" t="s">
        <v>45</v>
      </c>
      <c r="E898" s="7">
        <v>-2</v>
      </c>
      <c r="F898">
        <v>-100</v>
      </c>
      <c r="G898">
        <v>1</v>
      </c>
      <c r="I898" t="s">
        <v>46</v>
      </c>
      <c r="J898">
        <v>1</v>
      </c>
      <c r="K898">
        <v>19</v>
      </c>
    </row>
    <row r="899" spans="1:11" x14ac:dyDescent="0.35">
      <c r="A899" t="s">
        <v>1133</v>
      </c>
      <c r="B899" s="4" t="s">
        <v>1132</v>
      </c>
      <c r="C899">
        <v>1</v>
      </c>
      <c r="D899" t="s">
        <v>45</v>
      </c>
      <c r="E899" s="7">
        <v>-1</v>
      </c>
      <c r="F899">
        <v>-25</v>
      </c>
      <c r="G899">
        <v>2</v>
      </c>
      <c r="I899" t="s">
        <v>54</v>
      </c>
      <c r="J899">
        <v>1</v>
      </c>
      <c r="K899">
        <v>0</v>
      </c>
    </row>
    <row r="900" spans="1:11" x14ac:dyDescent="0.35">
      <c r="A900" t="s">
        <v>1134</v>
      </c>
      <c r="B900" s="4" t="s">
        <v>1132</v>
      </c>
      <c r="C900">
        <v>10</v>
      </c>
      <c r="D900" t="s">
        <v>45</v>
      </c>
      <c r="E900" s="7">
        <v>-4</v>
      </c>
      <c r="F900">
        <v>-200</v>
      </c>
      <c r="G900">
        <v>2</v>
      </c>
      <c r="I900" t="s">
        <v>46</v>
      </c>
      <c r="J900">
        <v>1</v>
      </c>
      <c r="K900">
        <v>15</v>
      </c>
    </row>
    <row r="901" spans="1:11" x14ac:dyDescent="0.35">
      <c r="A901" t="s">
        <v>1135</v>
      </c>
      <c r="B901" s="4" t="s">
        <v>1132</v>
      </c>
      <c r="C901">
        <v>10</v>
      </c>
      <c r="D901" t="s">
        <v>45</v>
      </c>
      <c r="E901" s="7">
        <v>-7</v>
      </c>
      <c r="F901">
        <v>-350</v>
      </c>
      <c r="G901">
        <v>3</v>
      </c>
      <c r="I901" t="s">
        <v>46</v>
      </c>
      <c r="J901">
        <v>1</v>
      </c>
      <c r="K901">
        <v>8</v>
      </c>
    </row>
    <row r="902" spans="1:11" x14ac:dyDescent="0.35">
      <c r="A902" t="s">
        <v>1136</v>
      </c>
      <c r="B902" s="4" t="s">
        <v>1137</v>
      </c>
      <c r="C902">
        <v>10</v>
      </c>
      <c r="D902" t="s">
        <v>45</v>
      </c>
      <c r="E902" s="7">
        <v>-2</v>
      </c>
      <c r="F902">
        <v>-100</v>
      </c>
      <c r="G902">
        <v>3</v>
      </c>
      <c r="I902" t="s">
        <v>46</v>
      </c>
      <c r="J902">
        <v>1</v>
      </c>
      <c r="K902">
        <v>6</v>
      </c>
    </row>
    <row r="903" spans="1:11" x14ac:dyDescent="0.35">
      <c r="A903" t="s">
        <v>1138</v>
      </c>
      <c r="B903" s="4" t="s">
        <v>1139</v>
      </c>
      <c r="C903">
        <v>10</v>
      </c>
      <c r="D903" t="s">
        <v>45</v>
      </c>
      <c r="E903" s="7">
        <v>-2</v>
      </c>
      <c r="F903">
        <v>-100</v>
      </c>
      <c r="G903">
        <v>2</v>
      </c>
      <c r="I903" t="s">
        <v>46</v>
      </c>
      <c r="J903">
        <v>1</v>
      </c>
      <c r="K903">
        <v>4</v>
      </c>
    </row>
    <row r="904" spans="1:11" x14ac:dyDescent="0.35">
      <c r="A904" t="s">
        <v>1140</v>
      </c>
      <c r="B904" s="4" t="s">
        <v>1141</v>
      </c>
      <c r="C904">
        <v>10</v>
      </c>
      <c r="D904" t="s">
        <v>45</v>
      </c>
      <c r="E904" s="7">
        <v>-4</v>
      </c>
      <c r="F904">
        <v>-200</v>
      </c>
      <c r="G904">
        <v>1</v>
      </c>
      <c r="I904" t="s">
        <v>46</v>
      </c>
      <c r="J904">
        <v>1</v>
      </c>
      <c r="K904">
        <v>0</v>
      </c>
    </row>
    <row r="905" spans="1:11" x14ac:dyDescent="0.35">
      <c r="A905" t="s">
        <v>1142</v>
      </c>
      <c r="B905" s="4" t="s">
        <v>1143</v>
      </c>
      <c r="C905">
        <v>24</v>
      </c>
      <c r="D905" t="s">
        <v>71</v>
      </c>
      <c r="E905" s="7">
        <v>38</v>
      </c>
      <c r="F905">
        <v>1900</v>
      </c>
      <c r="G905">
        <v>4</v>
      </c>
      <c r="H905">
        <v>3</v>
      </c>
      <c r="I905" t="s">
        <v>72</v>
      </c>
      <c r="J905">
        <v>1</v>
      </c>
      <c r="K905">
        <v>359</v>
      </c>
    </row>
    <row r="906" spans="1:11" x14ac:dyDescent="0.35">
      <c r="A906" t="s">
        <v>1144</v>
      </c>
      <c r="B906" s="4" t="s">
        <v>1143</v>
      </c>
      <c r="C906">
        <v>2</v>
      </c>
      <c r="D906" t="s">
        <v>71</v>
      </c>
      <c r="E906" s="7">
        <v>69</v>
      </c>
      <c r="F906">
        <v>3450</v>
      </c>
      <c r="G906">
        <v>4</v>
      </c>
      <c r="H906">
        <v>1</v>
      </c>
      <c r="I906" t="s">
        <v>72</v>
      </c>
      <c r="J906">
        <v>1</v>
      </c>
      <c r="K906">
        <v>314</v>
      </c>
    </row>
    <row r="907" spans="1:11" x14ac:dyDescent="0.35">
      <c r="A907" t="s">
        <v>1145</v>
      </c>
      <c r="B907" s="4" t="s">
        <v>1143</v>
      </c>
      <c r="C907">
        <v>35</v>
      </c>
      <c r="D907" t="s">
        <v>71</v>
      </c>
      <c r="E907" s="7">
        <v>49</v>
      </c>
      <c r="F907">
        <v>2450</v>
      </c>
      <c r="G907">
        <v>4</v>
      </c>
      <c r="H907">
        <v>3</v>
      </c>
      <c r="I907" t="s">
        <v>72</v>
      </c>
      <c r="J907">
        <v>1</v>
      </c>
      <c r="K907">
        <v>267</v>
      </c>
    </row>
    <row r="908" spans="1:11" x14ac:dyDescent="0.35">
      <c r="A908" t="s">
        <v>1146</v>
      </c>
      <c r="B908" s="4" t="s">
        <v>1143</v>
      </c>
      <c r="C908">
        <v>1</v>
      </c>
      <c r="D908" t="s">
        <v>71</v>
      </c>
      <c r="E908" s="7">
        <v>49</v>
      </c>
      <c r="F908">
        <v>2450</v>
      </c>
      <c r="G908">
        <v>4</v>
      </c>
      <c r="H908">
        <v>1</v>
      </c>
      <c r="I908" t="s">
        <v>72</v>
      </c>
      <c r="J908">
        <v>1</v>
      </c>
      <c r="K908">
        <v>49</v>
      </c>
    </row>
    <row r="909" spans="1:11" x14ac:dyDescent="0.35">
      <c r="A909" t="s">
        <v>1147</v>
      </c>
      <c r="B909" s="4" t="s">
        <v>1143</v>
      </c>
      <c r="C909">
        <v>1</v>
      </c>
      <c r="D909" t="s">
        <v>45</v>
      </c>
      <c r="E909" s="7">
        <v>-2</v>
      </c>
      <c r="F909">
        <v>-50</v>
      </c>
      <c r="G909">
        <v>3</v>
      </c>
      <c r="I909" t="s">
        <v>62</v>
      </c>
      <c r="J909">
        <v>1</v>
      </c>
      <c r="K909">
        <v>47</v>
      </c>
    </row>
    <row r="910" spans="1:11" x14ac:dyDescent="0.35">
      <c r="A910" t="s">
        <v>1148</v>
      </c>
      <c r="B910" s="4" t="s">
        <v>1149</v>
      </c>
      <c r="C910">
        <v>29</v>
      </c>
      <c r="D910" t="s">
        <v>71</v>
      </c>
      <c r="E910" s="7">
        <v>25</v>
      </c>
      <c r="F910">
        <v>1250</v>
      </c>
      <c r="G910">
        <v>4</v>
      </c>
      <c r="H910">
        <v>4</v>
      </c>
      <c r="I910" t="s">
        <v>72</v>
      </c>
      <c r="J910">
        <v>1</v>
      </c>
      <c r="K910">
        <v>401</v>
      </c>
    </row>
    <row r="911" spans="1:11" x14ac:dyDescent="0.35">
      <c r="A911" t="s">
        <v>1150</v>
      </c>
      <c r="B911" s="4" t="s">
        <v>1149</v>
      </c>
      <c r="C911">
        <v>6</v>
      </c>
      <c r="D911" t="s">
        <v>71</v>
      </c>
      <c r="E911" s="7">
        <v>26</v>
      </c>
      <c r="F911">
        <v>1300</v>
      </c>
      <c r="G911">
        <v>4</v>
      </c>
      <c r="H911">
        <v>4</v>
      </c>
      <c r="I911" t="s">
        <v>72</v>
      </c>
      <c r="J911">
        <v>1</v>
      </c>
      <c r="K911">
        <v>26</v>
      </c>
    </row>
    <row r="912" spans="1:11" x14ac:dyDescent="0.35">
      <c r="A912" t="s">
        <v>1151</v>
      </c>
      <c r="B912" s="4" t="s">
        <v>1149</v>
      </c>
      <c r="C912">
        <v>18</v>
      </c>
      <c r="D912" t="s">
        <v>71</v>
      </c>
      <c r="E912" s="7">
        <v>31</v>
      </c>
      <c r="F912">
        <v>1550</v>
      </c>
      <c r="G912">
        <v>4</v>
      </c>
      <c r="H912">
        <v>4</v>
      </c>
      <c r="I912" t="s">
        <v>72</v>
      </c>
      <c r="J912">
        <v>1</v>
      </c>
      <c r="K912">
        <v>343</v>
      </c>
    </row>
    <row r="913" spans="1:11" x14ac:dyDescent="0.35">
      <c r="A913" t="s">
        <v>1152</v>
      </c>
      <c r="B913" s="4" t="s">
        <v>1149</v>
      </c>
      <c r="C913">
        <v>21</v>
      </c>
      <c r="D913" t="s">
        <v>71</v>
      </c>
      <c r="E913" s="7">
        <v>46</v>
      </c>
      <c r="F913">
        <v>2300</v>
      </c>
      <c r="G913">
        <v>4</v>
      </c>
      <c r="H913">
        <v>3</v>
      </c>
      <c r="I913" t="s">
        <v>72</v>
      </c>
      <c r="J913">
        <v>1</v>
      </c>
      <c r="K913">
        <v>257</v>
      </c>
    </row>
    <row r="914" spans="1:11" x14ac:dyDescent="0.35">
      <c r="A914" t="s">
        <v>1153</v>
      </c>
      <c r="B914" s="4" t="s">
        <v>1149</v>
      </c>
      <c r="C914">
        <v>6</v>
      </c>
      <c r="D914" t="s">
        <v>45</v>
      </c>
      <c r="E914" s="7">
        <v>-4</v>
      </c>
      <c r="F914">
        <v>-200</v>
      </c>
      <c r="G914">
        <v>1</v>
      </c>
      <c r="I914" t="s">
        <v>46</v>
      </c>
      <c r="J914">
        <v>1</v>
      </c>
      <c r="K914">
        <v>22</v>
      </c>
    </row>
    <row r="915" spans="1:11" x14ac:dyDescent="0.35">
      <c r="A915" t="s">
        <v>1154</v>
      </c>
      <c r="B915" s="4" t="s">
        <v>1149</v>
      </c>
      <c r="C915">
        <v>6</v>
      </c>
      <c r="D915" t="s">
        <v>45</v>
      </c>
      <c r="E915" s="7">
        <v>-4</v>
      </c>
      <c r="F915">
        <v>-200</v>
      </c>
      <c r="G915">
        <v>2</v>
      </c>
      <c r="I915" t="s">
        <v>46</v>
      </c>
      <c r="J915">
        <v>1</v>
      </c>
      <c r="K915">
        <v>18</v>
      </c>
    </row>
    <row r="916" spans="1:11" x14ac:dyDescent="0.35">
      <c r="A916" t="s">
        <v>1155</v>
      </c>
      <c r="B916" s="4" t="s">
        <v>1149</v>
      </c>
      <c r="C916">
        <v>6</v>
      </c>
      <c r="D916" t="s">
        <v>45</v>
      </c>
      <c r="E916" s="7">
        <v>-5</v>
      </c>
      <c r="F916">
        <v>-250</v>
      </c>
      <c r="G916">
        <v>3</v>
      </c>
      <c r="I916" t="s">
        <v>46</v>
      </c>
      <c r="J916">
        <v>1</v>
      </c>
      <c r="K916">
        <v>13</v>
      </c>
    </row>
    <row r="917" spans="1:11" x14ac:dyDescent="0.35">
      <c r="A917" t="s">
        <v>1156</v>
      </c>
      <c r="B917" s="4" t="s">
        <v>1157</v>
      </c>
      <c r="C917">
        <v>13</v>
      </c>
      <c r="D917" t="s">
        <v>71</v>
      </c>
      <c r="E917" s="7">
        <v>27</v>
      </c>
      <c r="F917">
        <v>1350</v>
      </c>
      <c r="G917">
        <v>4</v>
      </c>
      <c r="H917">
        <v>2</v>
      </c>
      <c r="I917" t="s">
        <v>72</v>
      </c>
      <c r="J917">
        <v>1</v>
      </c>
      <c r="K917">
        <v>347</v>
      </c>
    </row>
    <row r="918" spans="1:11" x14ac:dyDescent="0.35">
      <c r="A918" t="s">
        <v>1158</v>
      </c>
      <c r="B918" s="4" t="s">
        <v>1157</v>
      </c>
      <c r="C918">
        <v>8</v>
      </c>
      <c r="D918" t="s">
        <v>71</v>
      </c>
      <c r="E918" s="7">
        <v>50</v>
      </c>
      <c r="F918">
        <v>2500</v>
      </c>
      <c r="G918">
        <v>4</v>
      </c>
      <c r="H918">
        <v>4</v>
      </c>
      <c r="I918" t="s">
        <v>72</v>
      </c>
      <c r="J918">
        <v>1</v>
      </c>
      <c r="K918">
        <v>51</v>
      </c>
    </row>
    <row r="919" spans="1:11" x14ac:dyDescent="0.35">
      <c r="A919" t="s">
        <v>1159</v>
      </c>
      <c r="B919" s="4" t="s">
        <v>1157</v>
      </c>
      <c r="C919">
        <v>28</v>
      </c>
      <c r="D919" t="s">
        <v>71</v>
      </c>
      <c r="E919" s="7">
        <v>38</v>
      </c>
      <c r="F919">
        <v>1900</v>
      </c>
      <c r="G919">
        <v>4</v>
      </c>
      <c r="H919">
        <v>2</v>
      </c>
      <c r="I919" t="s">
        <v>72</v>
      </c>
      <c r="J919">
        <v>1</v>
      </c>
      <c r="K919">
        <v>324</v>
      </c>
    </row>
    <row r="920" spans="1:11" x14ac:dyDescent="0.35">
      <c r="A920" t="s">
        <v>1160</v>
      </c>
      <c r="B920" s="4" t="s">
        <v>1157</v>
      </c>
      <c r="C920">
        <v>2</v>
      </c>
      <c r="D920" t="s">
        <v>71</v>
      </c>
      <c r="E920" s="7">
        <v>37</v>
      </c>
      <c r="F920">
        <v>1850</v>
      </c>
      <c r="G920">
        <v>4</v>
      </c>
      <c r="H920">
        <v>1</v>
      </c>
      <c r="I920" t="s">
        <v>72</v>
      </c>
      <c r="J920">
        <v>1</v>
      </c>
      <c r="K920">
        <v>351</v>
      </c>
    </row>
    <row r="921" spans="1:11" x14ac:dyDescent="0.35">
      <c r="A921" t="s">
        <v>1161</v>
      </c>
      <c r="B921" s="4" t="s">
        <v>1157</v>
      </c>
      <c r="C921">
        <v>20</v>
      </c>
      <c r="D921" t="s">
        <v>71</v>
      </c>
      <c r="E921" s="7">
        <v>44</v>
      </c>
      <c r="F921">
        <v>2200</v>
      </c>
      <c r="G921">
        <v>4</v>
      </c>
      <c r="H921">
        <v>3</v>
      </c>
      <c r="I921" t="s">
        <v>72</v>
      </c>
      <c r="J921">
        <v>1</v>
      </c>
      <c r="K921">
        <v>284</v>
      </c>
    </row>
    <row r="922" spans="1:11" x14ac:dyDescent="0.35">
      <c r="A922" t="s">
        <v>1162</v>
      </c>
      <c r="B922" s="4" t="s">
        <v>1157</v>
      </c>
      <c r="C922">
        <v>8</v>
      </c>
      <c r="D922" t="s">
        <v>45</v>
      </c>
      <c r="E922" s="7">
        <v>-4</v>
      </c>
      <c r="F922">
        <v>-200</v>
      </c>
      <c r="G922">
        <v>1</v>
      </c>
      <c r="I922" t="s">
        <v>46</v>
      </c>
      <c r="J922">
        <v>1</v>
      </c>
      <c r="K922">
        <v>47</v>
      </c>
    </row>
    <row r="923" spans="1:11" x14ac:dyDescent="0.35">
      <c r="A923" t="s">
        <v>1163</v>
      </c>
      <c r="B923" s="4" t="s">
        <v>1157</v>
      </c>
      <c r="C923">
        <v>1</v>
      </c>
      <c r="D923" t="s">
        <v>45</v>
      </c>
      <c r="E923" s="7">
        <v>-5</v>
      </c>
      <c r="F923">
        <v>-125</v>
      </c>
      <c r="G923">
        <v>2</v>
      </c>
      <c r="I923" t="s">
        <v>54</v>
      </c>
      <c r="J923">
        <v>1</v>
      </c>
      <c r="K923">
        <v>42</v>
      </c>
    </row>
    <row r="924" spans="1:11" x14ac:dyDescent="0.35">
      <c r="A924" t="s">
        <v>1164</v>
      </c>
      <c r="B924" s="4" t="s">
        <v>1157</v>
      </c>
      <c r="C924">
        <v>6</v>
      </c>
      <c r="D924" t="s">
        <v>45</v>
      </c>
      <c r="E924" s="7">
        <v>-6</v>
      </c>
      <c r="F924">
        <v>-300</v>
      </c>
      <c r="G924">
        <v>3</v>
      </c>
      <c r="I924" t="s">
        <v>46</v>
      </c>
      <c r="J924">
        <v>1</v>
      </c>
      <c r="K924">
        <v>7</v>
      </c>
    </row>
    <row r="925" spans="1:11" x14ac:dyDescent="0.35">
      <c r="A925" t="s">
        <v>1165</v>
      </c>
      <c r="B925" s="4" t="s">
        <v>1157</v>
      </c>
      <c r="C925">
        <v>8</v>
      </c>
      <c r="D925" t="s">
        <v>45</v>
      </c>
      <c r="E925" s="7">
        <v>-7</v>
      </c>
      <c r="F925">
        <v>-350</v>
      </c>
      <c r="G925">
        <v>3</v>
      </c>
      <c r="I925" t="s">
        <v>46</v>
      </c>
      <c r="J925">
        <v>1</v>
      </c>
      <c r="K925">
        <v>40</v>
      </c>
    </row>
    <row r="926" spans="1:11" x14ac:dyDescent="0.35">
      <c r="A926" t="s">
        <v>1166</v>
      </c>
      <c r="B926" s="4" t="s">
        <v>1167</v>
      </c>
      <c r="C926">
        <v>8</v>
      </c>
      <c r="D926" t="s">
        <v>45</v>
      </c>
      <c r="E926" s="7">
        <v>-7</v>
      </c>
      <c r="F926">
        <v>-350</v>
      </c>
      <c r="G926">
        <v>1</v>
      </c>
      <c r="I926" t="s">
        <v>46</v>
      </c>
      <c r="J926">
        <v>1</v>
      </c>
      <c r="K926">
        <v>33</v>
      </c>
    </row>
    <row r="927" spans="1:11" x14ac:dyDescent="0.35">
      <c r="A927" t="s">
        <v>1168</v>
      </c>
      <c r="B927" s="4" t="s">
        <v>1167</v>
      </c>
      <c r="C927">
        <v>6</v>
      </c>
      <c r="D927" t="s">
        <v>45</v>
      </c>
      <c r="E927" s="7">
        <v>-6</v>
      </c>
      <c r="F927">
        <v>-300</v>
      </c>
      <c r="G927">
        <v>2</v>
      </c>
      <c r="I927" t="s">
        <v>46</v>
      </c>
      <c r="J927">
        <v>1</v>
      </c>
      <c r="K927">
        <v>1</v>
      </c>
    </row>
    <row r="928" spans="1:11" x14ac:dyDescent="0.35">
      <c r="A928" t="s">
        <v>1169</v>
      </c>
      <c r="B928" s="4" t="s">
        <v>1167</v>
      </c>
      <c r="C928">
        <v>1</v>
      </c>
      <c r="D928" t="s">
        <v>45</v>
      </c>
      <c r="E928" s="7">
        <v>-4</v>
      </c>
      <c r="F928">
        <v>-100</v>
      </c>
      <c r="G928">
        <v>3</v>
      </c>
      <c r="I928" t="s">
        <v>62</v>
      </c>
      <c r="J928">
        <v>1</v>
      </c>
      <c r="K928">
        <v>38</v>
      </c>
    </row>
    <row r="929" spans="1:11" x14ac:dyDescent="0.35">
      <c r="A929" t="s">
        <v>1170</v>
      </c>
      <c r="B929" s="4" t="s">
        <v>1171</v>
      </c>
      <c r="C929">
        <v>8</v>
      </c>
      <c r="D929" t="s">
        <v>45</v>
      </c>
      <c r="E929" s="7">
        <v>-4</v>
      </c>
      <c r="F929">
        <v>-200</v>
      </c>
      <c r="G929">
        <v>1</v>
      </c>
      <c r="I929" t="s">
        <v>46</v>
      </c>
      <c r="J929">
        <v>1</v>
      </c>
      <c r="K929">
        <v>29</v>
      </c>
    </row>
    <row r="930" spans="1:11" x14ac:dyDescent="0.35">
      <c r="A930" t="s">
        <v>1172</v>
      </c>
      <c r="B930" s="4" t="s">
        <v>1171</v>
      </c>
      <c r="C930">
        <v>1</v>
      </c>
      <c r="D930" t="s">
        <v>45</v>
      </c>
      <c r="E930" s="7">
        <v>-2</v>
      </c>
      <c r="F930">
        <v>-50</v>
      </c>
      <c r="G930">
        <v>2</v>
      </c>
      <c r="I930" t="s">
        <v>54</v>
      </c>
      <c r="J930">
        <v>1</v>
      </c>
      <c r="K930">
        <v>36</v>
      </c>
    </row>
    <row r="931" spans="1:11" x14ac:dyDescent="0.35">
      <c r="A931" t="s">
        <v>1173</v>
      </c>
      <c r="B931" s="4" t="s">
        <v>1171</v>
      </c>
      <c r="C931">
        <v>8</v>
      </c>
      <c r="D931" t="s">
        <v>45</v>
      </c>
      <c r="E931" s="7">
        <v>-4</v>
      </c>
      <c r="F931">
        <v>-200</v>
      </c>
      <c r="G931">
        <v>2</v>
      </c>
      <c r="I931" t="s">
        <v>46</v>
      </c>
      <c r="J931">
        <v>1</v>
      </c>
      <c r="K931">
        <v>25</v>
      </c>
    </row>
    <row r="932" spans="1:11" x14ac:dyDescent="0.35">
      <c r="A932" t="s">
        <v>1174</v>
      </c>
      <c r="B932" s="4" t="s">
        <v>1171</v>
      </c>
      <c r="C932">
        <v>1</v>
      </c>
      <c r="D932" t="s">
        <v>45</v>
      </c>
      <c r="E932" s="7">
        <v>-5</v>
      </c>
      <c r="F932">
        <v>-125</v>
      </c>
      <c r="G932">
        <v>3</v>
      </c>
      <c r="I932" t="s">
        <v>62</v>
      </c>
      <c r="J932">
        <v>1</v>
      </c>
      <c r="K932">
        <v>31</v>
      </c>
    </row>
    <row r="933" spans="1:11" x14ac:dyDescent="0.35">
      <c r="A933" t="s">
        <v>1175</v>
      </c>
      <c r="B933" s="4" t="s">
        <v>1171</v>
      </c>
      <c r="C933">
        <v>8</v>
      </c>
      <c r="D933" t="s">
        <v>45</v>
      </c>
      <c r="E933" s="7">
        <v>-4</v>
      </c>
      <c r="F933">
        <v>-200</v>
      </c>
      <c r="G933">
        <v>3</v>
      </c>
      <c r="I933" t="s">
        <v>46</v>
      </c>
      <c r="J933">
        <v>1</v>
      </c>
      <c r="K933">
        <v>21</v>
      </c>
    </row>
    <row r="934" spans="1:11" x14ac:dyDescent="0.35">
      <c r="A934" t="s">
        <v>1176</v>
      </c>
      <c r="B934" s="4" t="s">
        <v>1177</v>
      </c>
      <c r="C934">
        <v>1</v>
      </c>
      <c r="D934" t="s">
        <v>45</v>
      </c>
      <c r="E934" s="7">
        <v>-1</v>
      </c>
      <c r="F934">
        <v>-25</v>
      </c>
      <c r="G934">
        <v>1</v>
      </c>
      <c r="I934" t="s">
        <v>46</v>
      </c>
      <c r="J934">
        <v>1</v>
      </c>
      <c r="K934">
        <v>30</v>
      </c>
    </row>
    <row r="935" spans="1:11" x14ac:dyDescent="0.35">
      <c r="A935" t="s">
        <v>1178</v>
      </c>
      <c r="B935" s="4" t="s">
        <v>1177</v>
      </c>
      <c r="C935">
        <v>8</v>
      </c>
      <c r="D935" t="s">
        <v>45</v>
      </c>
      <c r="E935" s="7">
        <v>-4</v>
      </c>
      <c r="F935">
        <v>-200</v>
      </c>
      <c r="G935">
        <v>1</v>
      </c>
      <c r="I935" t="s">
        <v>46</v>
      </c>
      <c r="J935">
        <v>1</v>
      </c>
      <c r="K935">
        <v>17</v>
      </c>
    </row>
    <row r="936" spans="1:11" x14ac:dyDescent="0.35">
      <c r="A936" t="s">
        <v>1179</v>
      </c>
      <c r="B936" s="4" t="s">
        <v>1177</v>
      </c>
      <c r="C936">
        <v>8</v>
      </c>
      <c r="D936" t="s">
        <v>45</v>
      </c>
      <c r="E936" s="7">
        <v>-3</v>
      </c>
      <c r="F936">
        <v>-150</v>
      </c>
      <c r="G936">
        <v>2</v>
      </c>
      <c r="I936" t="s">
        <v>46</v>
      </c>
      <c r="J936">
        <v>1</v>
      </c>
      <c r="K936">
        <v>14</v>
      </c>
    </row>
    <row r="937" spans="1:11" x14ac:dyDescent="0.35">
      <c r="A937" t="s">
        <v>1180</v>
      </c>
      <c r="B937" s="4" t="s">
        <v>1177</v>
      </c>
      <c r="C937">
        <v>1</v>
      </c>
      <c r="D937" t="s">
        <v>45</v>
      </c>
      <c r="E937" s="7">
        <v>-1</v>
      </c>
      <c r="F937">
        <v>-25</v>
      </c>
      <c r="G937">
        <v>3</v>
      </c>
      <c r="I937" t="s">
        <v>62</v>
      </c>
      <c r="J937">
        <v>1</v>
      </c>
      <c r="K937">
        <v>29</v>
      </c>
    </row>
    <row r="938" spans="1:11" x14ac:dyDescent="0.35">
      <c r="A938" t="s">
        <v>1181</v>
      </c>
      <c r="B938" s="4" t="s">
        <v>1182</v>
      </c>
      <c r="C938">
        <v>8</v>
      </c>
      <c r="D938" t="s">
        <v>45</v>
      </c>
      <c r="E938" s="7">
        <v>-4</v>
      </c>
      <c r="F938">
        <v>-200</v>
      </c>
      <c r="G938">
        <v>1</v>
      </c>
      <c r="I938" t="s">
        <v>46</v>
      </c>
      <c r="J938">
        <v>1</v>
      </c>
      <c r="K938">
        <v>10</v>
      </c>
    </row>
    <row r="939" spans="1:11" x14ac:dyDescent="0.35">
      <c r="A939" t="s">
        <v>1183</v>
      </c>
      <c r="B939" s="4" t="s">
        <v>1182</v>
      </c>
      <c r="C939">
        <v>8</v>
      </c>
      <c r="D939" t="s">
        <v>45</v>
      </c>
      <c r="E939" s="7">
        <v>-5</v>
      </c>
      <c r="F939">
        <v>-250</v>
      </c>
      <c r="G939">
        <v>2</v>
      </c>
      <c r="I939" t="s">
        <v>46</v>
      </c>
      <c r="J939">
        <v>1</v>
      </c>
      <c r="K939">
        <v>5</v>
      </c>
    </row>
    <row r="940" spans="1:11" x14ac:dyDescent="0.35">
      <c r="A940" t="s">
        <v>1184</v>
      </c>
      <c r="B940" s="4" t="s">
        <v>1182</v>
      </c>
      <c r="C940">
        <v>1</v>
      </c>
      <c r="D940" t="s">
        <v>45</v>
      </c>
      <c r="E940" s="7">
        <v>-1</v>
      </c>
      <c r="F940">
        <v>-25</v>
      </c>
      <c r="G940">
        <v>3</v>
      </c>
      <c r="I940" t="s">
        <v>62</v>
      </c>
      <c r="J940">
        <v>1</v>
      </c>
      <c r="K940">
        <v>28</v>
      </c>
    </row>
    <row r="941" spans="1:11" x14ac:dyDescent="0.35">
      <c r="A941" t="s">
        <v>1185</v>
      </c>
      <c r="B941" s="4" t="s">
        <v>1182</v>
      </c>
      <c r="C941">
        <v>8</v>
      </c>
      <c r="D941" t="s">
        <v>45</v>
      </c>
      <c r="E941" s="7">
        <v>-4</v>
      </c>
      <c r="F941">
        <v>-200</v>
      </c>
      <c r="G941">
        <v>3</v>
      </c>
      <c r="I941" t="s">
        <v>46</v>
      </c>
      <c r="J941">
        <v>1</v>
      </c>
      <c r="K941">
        <v>1</v>
      </c>
    </row>
    <row r="942" spans="1:11" x14ac:dyDescent="0.35">
      <c r="A942" t="s">
        <v>1186</v>
      </c>
      <c r="B942" s="4" t="s">
        <v>1187</v>
      </c>
      <c r="C942">
        <v>8</v>
      </c>
      <c r="D942" t="s">
        <v>71</v>
      </c>
      <c r="E942" s="7">
        <v>35</v>
      </c>
      <c r="F942">
        <v>1750</v>
      </c>
      <c r="G942">
        <v>4</v>
      </c>
      <c r="H942">
        <v>4</v>
      </c>
      <c r="I942" t="s">
        <v>72</v>
      </c>
      <c r="J942">
        <v>1</v>
      </c>
      <c r="K942">
        <v>36</v>
      </c>
    </row>
    <row r="943" spans="1:11" x14ac:dyDescent="0.35">
      <c r="A943" t="s">
        <v>1188</v>
      </c>
      <c r="B943" s="4" t="s">
        <v>1187</v>
      </c>
      <c r="C943">
        <v>31</v>
      </c>
      <c r="D943" t="s">
        <v>71</v>
      </c>
      <c r="E943" s="7">
        <v>30</v>
      </c>
      <c r="F943">
        <v>1500</v>
      </c>
      <c r="G943">
        <v>4</v>
      </c>
      <c r="H943">
        <v>3</v>
      </c>
      <c r="I943" t="s">
        <v>72</v>
      </c>
      <c r="J943">
        <v>1</v>
      </c>
      <c r="K943">
        <v>448</v>
      </c>
    </row>
    <row r="944" spans="1:11" x14ac:dyDescent="0.35">
      <c r="A944" t="s">
        <v>1189</v>
      </c>
      <c r="B944" s="4" t="s">
        <v>1187</v>
      </c>
      <c r="C944">
        <v>3</v>
      </c>
      <c r="D944" t="s">
        <v>71</v>
      </c>
      <c r="E944" s="7">
        <v>63</v>
      </c>
      <c r="F944">
        <v>3150</v>
      </c>
      <c r="G944">
        <v>4</v>
      </c>
      <c r="H944">
        <v>2</v>
      </c>
      <c r="I944" t="s">
        <v>72</v>
      </c>
      <c r="J944">
        <v>1</v>
      </c>
      <c r="K944">
        <v>516</v>
      </c>
    </row>
    <row r="945" spans="1:11" x14ac:dyDescent="0.35">
      <c r="A945" t="s">
        <v>1190</v>
      </c>
      <c r="B945" s="4" t="s">
        <v>1187</v>
      </c>
      <c r="C945">
        <v>1</v>
      </c>
      <c r="D945" t="s">
        <v>45</v>
      </c>
      <c r="E945" s="7">
        <v>-4</v>
      </c>
      <c r="F945">
        <v>-100</v>
      </c>
      <c r="G945">
        <v>1</v>
      </c>
      <c r="I945" t="s">
        <v>46</v>
      </c>
      <c r="J945">
        <v>1</v>
      </c>
      <c r="K945">
        <v>24</v>
      </c>
    </row>
    <row r="946" spans="1:11" x14ac:dyDescent="0.35">
      <c r="A946" t="s">
        <v>1191</v>
      </c>
      <c r="B946" s="4" t="s">
        <v>1187</v>
      </c>
      <c r="C946">
        <v>8</v>
      </c>
      <c r="D946" t="s">
        <v>45</v>
      </c>
      <c r="E946" s="7">
        <v>-3</v>
      </c>
      <c r="F946">
        <v>-150</v>
      </c>
      <c r="G946">
        <v>1</v>
      </c>
      <c r="I946" t="s">
        <v>46</v>
      </c>
      <c r="J946">
        <v>1</v>
      </c>
      <c r="K946">
        <v>33</v>
      </c>
    </row>
    <row r="947" spans="1:11" x14ac:dyDescent="0.35">
      <c r="A947" t="s">
        <v>1192</v>
      </c>
      <c r="B947" s="4" t="s">
        <v>1187</v>
      </c>
      <c r="C947">
        <v>1</v>
      </c>
      <c r="D947" t="s">
        <v>45</v>
      </c>
      <c r="E947" s="7">
        <v>-2</v>
      </c>
      <c r="F947">
        <v>-50</v>
      </c>
      <c r="G947">
        <v>2</v>
      </c>
      <c r="I947" t="s">
        <v>54</v>
      </c>
      <c r="J947">
        <v>1</v>
      </c>
      <c r="K947">
        <v>22</v>
      </c>
    </row>
    <row r="948" spans="1:11" x14ac:dyDescent="0.35">
      <c r="A948" t="s">
        <v>1193</v>
      </c>
      <c r="B948" s="4" t="s">
        <v>1187</v>
      </c>
      <c r="C948">
        <v>8</v>
      </c>
      <c r="D948" t="s">
        <v>45</v>
      </c>
      <c r="E948" s="7">
        <v>-4</v>
      </c>
      <c r="F948">
        <v>-200</v>
      </c>
      <c r="G948">
        <v>2</v>
      </c>
      <c r="I948" t="s">
        <v>46</v>
      </c>
      <c r="J948">
        <v>1</v>
      </c>
      <c r="K948">
        <v>29</v>
      </c>
    </row>
    <row r="949" spans="1:11" x14ac:dyDescent="0.35">
      <c r="A949" t="s">
        <v>1194</v>
      </c>
      <c r="B949" s="4" t="s">
        <v>1187</v>
      </c>
      <c r="C949">
        <v>8</v>
      </c>
      <c r="D949" t="s">
        <v>45</v>
      </c>
      <c r="E949" s="7">
        <v>-2</v>
      </c>
      <c r="F949">
        <v>-100</v>
      </c>
      <c r="G949">
        <v>3</v>
      </c>
      <c r="I949" t="s">
        <v>46</v>
      </c>
      <c r="J949">
        <v>1</v>
      </c>
      <c r="K949">
        <v>27</v>
      </c>
    </row>
    <row r="950" spans="1:11" x14ac:dyDescent="0.35">
      <c r="A950" t="s">
        <v>1195</v>
      </c>
      <c r="B950" s="4" t="s">
        <v>1196</v>
      </c>
      <c r="C950">
        <v>4</v>
      </c>
      <c r="D950" t="s">
        <v>71</v>
      </c>
      <c r="E950" s="7">
        <v>26</v>
      </c>
      <c r="F950">
        <v>1300</v>
      </c>
      <c r="G950">
        <v>4</v>
      </c>
      <c r="H950">
        <v>3</v>
      </c>
      <c r="I950" t="s">
        <v>72</v>
      </c>
      <c r="J950">
        <v>1</v>
      </c>
      <c r="K950">
        <v>26</v>
      </c>
    </row>
    <row r="951" spans="1:11" x14ac:dyDescent="0.35">
      <c r="A951" t="s">
        <v>1197</v>
      </c>
      <c r="B951" s="4" t="s">
        <v>1196</v>
      </c>
      <c r="C951">
        <v>14</v>
      </c>
      <c r="D951" t="s">
        <v>71</v>
      </c>
      <c r="E951" s="7">
        <v>46</v>
      </c>
      <c r="F951">
        <v>2300</v>
      </c>
      <c r="G951">
        <v>4</v>
      </c>
      <c r="H951">
        <v>3</v>
      </c>
      <c r="I951" t="s">
        <v>72</v>
      </c>
      <c r="J951">
        <v>1</v>
      </c>
      <c r="K951">
        <v>313</v>
      </c>
    </row>
    <row r="952" spans="1:11" x14ac:dyDescent="0.35">
      <c r="A952" t="s">
        <v>1198</v>
      </c>
      <c r="B952" s="4" t="s">
        <v>1196</v>
      </c>
      <c r="C952">
        <v>19</v>
      </c>
      <c r="D952" t="s">
        <v>71</v>
      </c>
      <c r="E952" s="7">
        <v>33</v>
      </c>
      <c r="F952">
        <v>1650</v>
      </c>
      <c r="G952">
        <v>4</v>
      </c>
      <c r="H952">
        <v>3</v>
      </c>
      <c r="I952" t="s">
        <v>72</v>
      </c>
      <c r="J952">
        <v>1</v>
      </c>
      <c r="K952">
        <v>231</v>
      </c>
    </row>
    <row r="953" spans="1:11" x14ac:dyDescent="0.35">
      <c r="A953" t="s">
        <v>1199</v>
      </c>
      <c r="B953" s="4" t="s">
        <v>1196</v>
      </c>
      <c r="C953">
        <v>12</v>
      </c>
      <c r="D953" t="s">
        <v>71</v>
      </c>
      <c r="E953" s="7">
        <v>25</v>
      </c>
      <c r="F953">
        <v>1250</v>
      </c>
      <c r="G953">
        <v>4</v>
      </c>
      <c r="H953">
        <v>3</v>
      </c>
      <c r="I953" t="s">
        <v>72</v>
      </c>
      <c r="J953">
        <v>1</v>
      </c>
      <c r="K953">
        <v>25</v>
      </c>
    </row>
    <row r="954" spans="1:11" x14ac:dyDescent="0.35">
      <c r="A954" t="s">
        <v>1200</v>
      </c>
      <c r="B954" s="4" t="s">
        <v>1196</v>
      </c>
      <c r="C954">
        <v>8</v>
      </c>
      <c r="D954" t="s">
        <v>45</v>
      </c>
      <c r="E954" s="7">
        <v>-2</v>
      </c>
      <c r="F954">
        <v>-100</v>
      </c>
      <c r="G954">
        <v>1</v>
      </c>
      <c r="I954" t="s">
        <v>46</v>
      </c>
      <c r="J954">
        <v>1</v>
      </c>
      <c r="K954">
        <v>25</v>
      </c>
    </row>
    <row r="955" spans="1:11" x14ac:dyDescent="0.35">
      <c r="A955" t="s">
        <v>1201</v>
      </c>
      <c r="B955" s="4" t="s">
        <v>1196</v>
      </c>
      <c r="C955">
        <v>1</v>
      </c>
      <c r="D955" t="s">
        <v>45</v>
      </c>
      <c r="E955" s="7">
        <v>-2</v>
      </c>
      <c r="F955">
        <v>-50</v>
      </c>
      <c r="G955">
        <v>2</v>
      </c>
      <c r="I955" t="s">
        <v>54</v>
      </c>
      <c r="J955">
        <v>1</v>
      </c>
      <c r="K955">
        <v>20</v>
      </c>
    </row>
    <row r="956" spans="1:11" x14ac:dyDescent="0.35">
      <c r="A956" t="s">
        <v>1202</v>
      </c>
      <c r="B956" s="4" t="s">
        <v>1196</v>
      </c>
      <c r="C956">
        <v>12</v>
      </c>
      <c r="D956" t="s">
        <v>45</v>
      </c>
      <c r="E956" s="7">
        <v>-2</v>
      </c>
      <c r="F956">
        <v>-100</v>
      </c>
      <c r="G956">
        <v>2</v>
      </c>
      <c r="I956" t="s">
        <v>46</v>
      </c>
      <c r="J956">
        <v>1</v>
      </c>
      <c r="K956">
        <v>23</v>
      </c>
    </row>
    <row r="957" spans="1:11" x14ac:dyDescent="0.35">
      <c r="A957" t="s">
        <v>1203</v>
      </c>
      <c r="B957" s="4" t="s">
        <v>1196</v>
      </c>
      <c r="C957">
        <v>1</v>
      </c>
      <c r="D957" t="s">
        <v>45</v>
      </c>
      <c r="E957" s="7">
        <v>-2</v>
      </c>
      <c r="F957">
        <v>-50</v>
      </c>
      <c r="G957">
        <v>3</v>
      </c>
      <c r="I957" t="s">
        <v>62</v>
      </c>
      <c r="J957">
        <v>1</v>
      </c>
      <c r="K957">
        <v>18</v>
      </c>
    </row>
    <row r="958" spans="1:11" x14ac:dyDescent="0.35">
      <c r="A958" t="s">
        <v>1204</v>
      </c>
      <c r="B958" s="4" t="s">
        <v>1196</v>
      </c>
      <c r="C958">
        <v>4</v>
      </c>
      <c r="D958" t="s">
        <v>45</v>
      </c>
      <c r="E958" s="7">
        <v>-7</v>
      </c>
      <c r="F958">
        <v>-350</v>
      </c>
      <c r="G958">
        <v>3</v>
      </c>
      <c r="I958" t="s">
        <v>46</v>
      </c>
      <c r="J958">
        <v>1</v>
      </c>
      <c r="K958">
        <v>19</v>
      </c>
    </row>
    <row r="959" spans="1:11" x14ac:dyDescent="0.35">
      <c r="A959" t="s">
        <v>1205</v>
      </c>
      <c r="B959" s="4" t="s">
        <v>1196</v>
      </c>
      <c r="C959">
        <v>8</v>
      </c>
      <c r="D959" t="s">
        <v>45</v>
      </c>
      <c r="E959" s="7">
        <v>-3</v>
      </c>
      <c r="F959">
        <v>-150</v>
      </c>
      <c r="G959">
        <v>3</v>
      </c>
      <c r="I959" t="s">
        <v>46</v>
      </c>
      <c r="J959">
        <v>1</v>
      </c>
      <c r="K959">
        <v>22</v>
      </c>
    </row>
    <row r="960" spans="1:11" x14ac:dyDescent="0.35">
      <c r="A960" t="s">
        <v>1206</v>
      </c>
      <c r="B960" s="4" t="s">
        <v>1196</v>
      </c>
      <c r="C960">
        <v>12</v>
      </c>
      <c r="D960" t="s">
        <v>45</v>
      </c>
      <c r="E960" s="7">
        <v>-7</v>
      </c>
      <c r="F960">
        <v>-350</v>
      </c>
      <c r="G960">
        <v>3</v>
      </c>
      <c r="I960" t="s">
        <v>46</v>
      </c>
      <c r="J960">
        <v>1</v>
      </c>
      <c r="K960">
        <v>16</v>
      </c>
    </row>
    <row r="961" spans="1:11" x14ac:dyDescent="0.35">
      <c r="A961" t="s">
        <v>1207</v>
      </c>
      <c r="B961" s="4" t="s">
        <v>1208</v>
      </c>
      <c r="C961">
        <v>4</v>
      </c>
      <c r="D961" t="s">
        <v>45</v>
      </c>
      <c r="E961" s="7">
        <v>-3</v>
      </c>
      <c r="F961">
        <v>-150</v>
      </c>
      <c r="G961">
        <v>1</v>
      </c>
      <c r="I961" t="s">
        <v>46</v>
      </c>
      <c r="J961">
        <v>1</v>
      </c>
      <c r="K961">
        <v>16</v>
      </c>
    </row>
    <row r="962" spans="1:11" x14ac:dyDescent="0.35">
      <c r="A962" t="s">
        <v>1209</v>
      </c>
      <c r="B962" s="4" t="s">
        <v>1208</v>
      </c>
      <c r="C962">
        <v>8</v>
      </c>
      <c r="D962" t="s">
        <v>45</v>
      </c>
      <c r="E962" s="7">
        <v>-4</v>
      </c>
      <c r="F962">
        <v>-200</v>
      </c>
      <c r="G962">
        <v>1</v>
      </c>
      <c r="I962" t="s">
        <v>46</v>
      </c>
      <c r="J962">
        <v>1</v>
      </c>
      <c r="K962">
        <v>18</v>
      </c>
    </row>
    <row r="963" spans="1:11" x14ac:dyDescent="0.35">
      <c r="A963" t="s">
        <v>1210</v>
      </c>
      <c r="B963" s="4" t="s">
        <v>1208</v>
      </c>
      <c r="C963">
        <v>12</v>
      </c>
      <c r="D963" t="s">
        <v>45</v>
      </c>
      <c r="E963" s="7">
        <v>-4</v>
      </c>
      <c r="F963">
        <v>-200</v>
      </c>
      <c r="G963">
        <v>1</v>
      </c>
      <c r="I963" t="s">
        <v>46</v>
      </c>
      <c r="J963">
        <v>1</v>
      </c>
      <c r="K963">
        <v>12</v>
      </c>
    </row>
    <row r="964" spans="1:11" x14ac:dyDescent="0.35">
      <c r="A964" t="s">
        <v>1211</v>
      </c>
      <c r="B964" s="4" t="s">
        <v>1208</v>
      </c>
      <c r="C964">
        <v>1</v>
      </c>
      <c r="D964" t="s">
        <v>45</v>
      </c>
      <c r="E964" s="7">
        <v>-2</v>
      </c>
      <c r="F964">
        <v>-50</v>
      </c>
      <c r="G964">
        <v>2</v>
      </c>
      <c r="I964" t="s">
        <v>54</v>
      </c>
      <c r="J964">
        <v>1</v>
      </c>
      <c r="K964">
        <v>16</v>
      </c>
    </row>
    <row r="965" spans="1:11" x14ac:dyDescent="0.35">
      <c r="A965" t="s">
        <v>1212</v>
      </c>
      <c r="B965" s="4" t="s">
        <v>1208</v>
      </c>
      <c r="C965">
        <v>8</v>
      </c>
      <c r="D965" t="s">
        <v>45</v>
      </c>
      <c r="E965" s="7">
        <v>-4</v>
      </c>
      <c r="F965">
        <v>-200</v>
      </c>
      <c r="G965">
        <v>2</v>
      </c>
      <c r="I965" t="s">
        <v>46</v>
      </c>
      <c r="J965">
        <v>1</v>
      </c>
      <c r="K965">
        <v>14</v>
      </c>
    </row>
    <row r="966" spans="1:11" x14ac:dyDescent="0.35">
      <c r="A966" t="s">
        <v>1213</v>
      </c>
      <c r="B966" s="4" t="s">
        <v>1208</v>
      </c>
      <c r="C966">
        <v>12</v>
      </c>
      <c r="D966" t="s">
        <v>45</v>
      </c>
      <c r="E966" s="7">
        <v>-4</v>
      </c>
      <c r="F966">
        <v>-200</v>
      </c>
      <c r="G966">
        <v>2</v>
      </c>
      <c r="I966" t="s">
        <v>46</v>
      </c>
      <c r="J966">
        <v>1</v>
      </c>
      <c r="K966">
        <v>8</v>
      </c>
    </row>
    <row r="967" spans="1:11" x14ac:dyDescent="0.35">
      <c r="A967" t="s">
        <v>1214</v>
      </c>
      <c r="B967" s="4" t="s">
        <v>1208</v>
      </c>
      <c r="C967">
        <v>1</v>
      </c>
      <c r="D967" t="s">
        <v>45</v>
      </c>
      <c r="E967" s="7">
        <v>-2</v>
      </c>
      <c r="F967">
        <v>-50</v>
      </c>
      <c r="G967">
        <v>3</v>
      </c>
      <c r="I967" t="s">
        <v>62</v>
      </c>
      <c r="J967">
        <v>1</v>
      </c>
      <c r="K967">
        <v>14</v>
      </c>
    </row>
    <row r="968" spans="1:11" x14ac:dyDescent="0.35">
      <c r="A968" t="s">
        <v>1215</v>
      </c>
      <c r="B968" s="4" t="s">
        <v>1208</v>
      </c>
      <c r="C968">
        <v>8</v>
      </c>
      <c r="D968" t="s">
        <v>45</v>
      </c>
      <c r="E968" s="7">
        <v>-2</v>
      </c>
      <c r="F968">
        <v>-100</v>
      </c>
      <c r="G968">
        <v>3</v>
      </c>
      <c r="I968" t="s">
        <v>46</v>
      </c>
      <c r="J968">
        <v>1</v>
      </c>
      <c r="K968">
        <v>12</v>
      </c>
    </row>
    <row r="969" spans="1:11" x14ac:dyDescent="0.35">
      <c r="A969" t="s">
        <v>1216</v>
      </c>
      <c r="B969" s="4" t="s">
        <v>1208</v>
      </c>
      <c r="C969">
        <v>12</v>
      </c>
      <c r="D969" t="s">
        <v>45</v>
      </c>
      <c r="E969" s="7">
        <v>-4</v>
      </c>
      <c r="F969">
        <v>-200</v>
      </c>
      <c r="G969">
        <v>3</v>
      </c>
      <c r="I969" t="s">
        <v>46</v>
      </c>
      <c r="J969">
        <v>1</v>
      </c>
      <c r="K969">
        <v>4</v>
      </c>
    </row>
    <row r="970" spans="1:11" x14ac:dyDescent="0.35">
      <c r="A970" t="s">
        <v>1217</v>
      </c>
      <c r="B970" s="4" t="s">
        <v>1218</v>
      </c>
      <c r="C970">
        <v>8</v>
      </c>
      <c r="D970" t="s">
        <v>45</v>
      </c>
      <c r="E970" s="7">
        <v>-3</v>
      </c>
      <c r="F970">
        <v>-150</v>
      </c>
      <c r="G970">
        <v>1</v>
      </c>
      <c r="I970" t="s">
        <v>46</v>
      </c>
      <c r="J970">
        <v>1</v>
      </c>
      <c r="K970">
        <v>9</v>
      </c>
    </row>
    <row r="971" spans="1:11" x14ac:dyDescent="0.35">
      <c r="A971" t="s">
        <v>1219</v>
      </c>
      <c r="B971" s="4" t="s">
        <v>1218</v>
      </c>
      <c r="C971">
        <v>12</v>
      </c>
      <c r="D971" t="s">
        <v>45</v>
      </c>
      <c r="E971" s="7">
        <v>-4</v>
      </c>
      <c r="F971">
        <v>-200</v>
      </c>
      <c r="G971">
        <v>1</v>
      </c>
      <c r="I971" t="s">
        <v>46</v>
      </c>
      <c r="J971">
        <v>1</v>
      </c>
      <c r="K971">
        <v>0</v>
      </c>
    </row>
    <row r="972" spans="1:11" x14ac:dyDescent="0.35">
      <c r="A972" t="s">
        <v>1220</v>
      </c>
      <c r="B972" s="4" t="s">
        <v>1218</v>
      </c>
      <c r="C972">
        <v>8</v>
      </c>
      <c r="D972" t="s">
        <v>45</v>
      </c>
      <c r="E972" s="7">
        <v>-2</v>
      </c>
      <c r="F972">
        <v>-100</v>
      </c>
      <c r="G972">
        <v>2</v>
      </c>
      <c r="I972" t="s">
        <v>46</v>
      </c>
      <c r="J972">
        <v>1</v>
      </c>
      <c r="K972">
        <v>7</v>
      </c>
    </row>
    <row r="973" spans="1:11" x14ac:dyDescent="0.35">
      <c r="A973" t="s">
        <v>1221</v>
      </c>
      <c r="B973" s="4" t="s">
        <v>1218</v>
      </c>
      <c r="C973">
        <v>1</v>
      </c>
      <c r="D973" t="s">
        <v>45</v>
      </c>
      <c r="E973" s="7">
        <v>-3</v>
      </c>
      <c r="F973">
        <v>-75</v>
      </c>
      <c r="G973">
        <v>3</v>
      </c>
      <c r="I973" t="s">
        <v>62</v>
      </c>
      <c r="J973">
        <v>1</v>
      </c>
      <c r="K973">
        <v>11</v>
      </c>
    </row>
    <row r="974" spans="1:11" x14ac:dyDescent="0.35">
      <c r="A974" t="s">
        <v>1222</v>
      </c>
      <c r="B974" s="4" t="s">
        <v>1218</v>
      </c>
      <c r="C974">
        <v>4</v>
      </c>
      <c r="D974" t="s">
        <v>45</v>
      </c>
      <c r="E974" s="7">
        <v>-4</v>
      </c>
      <c r="F974">
        <v>-200</v>
      </c>
      <c r="G974">
        <v>3</v>
      </c>
      <c r="I974" t="s">
        <v>46</v>
      </c>
      <c r="J974">
        <v>1</v>
      </c>
      <c r="K974">
        <v>12</v>
      </c>
    </row>
    <row r="975" spans="1:11" x14ac:dyDescent="0.35">
      <c r="A975" t="s">
        <v>1223</v>
      </c>
      <c r="B975" s="4" t="s">
        <v>1224</v>
      </c>
      <c r="C975">
        <v>4</v>
      </c>
      <c r="D975" t="s">
        <v>45</v>
      </c>
      <c r="E975" s="7">
        <v>-4</v>
      </c>
      <c r="F975">
        <v>-200</v>
      </c>
      <c r="G975">
        <v>1</v>
      </c>
      <c r="I975" t="s">
        <v>46</v>
      </c>
      <c r="J975">
        <v>1</v>
      </c>
      <c r="K975">
        <v>8</v>
      </c>
    </row>
    <row r="976" spans="1:11" x14ac:dyDescent="0.35">
      <c r="A976" t="s">
        <v>1225</v>
      </c>
      <c r="B976" s="4" t="s">
        <v>1224</v>
      </c>
      <c r="C976">
        <v>8</v>
      </c>
      <c r="D976" t="s">
        <v>45</v>
      </c>
      <c r="E976" s="7">
        <v>-3</v>
      </c>
      <c r="F976">
        <v>-150</v>
      </c>
      <c r="G976">
        <v>1</v>
      </c>
      <c r="I976" t="s">
        <v>46</v>
      </c>
      <c r="J976">
        <v>1</v>
      </c>
      <c r="K976">
        <v>4</v>
      </c>
    </row>
    <row r="977" spans="1:11" x14ac:dyDescent="0.35">
      <c r="A977" t="s">
        <v>1226</v>
      </c>
      <c r="B977" s="4" t="s">
        <v>1224</v>
      </c>
      <c r="C977">
        <v>4</v>
      </c>
      <c r="D977" t="s">
        <v>45</v>
      </c>
      <c r="E977" s="7">
        <v>-6</v>
      </c>
      <c r="F977">
        <v>-300</v>
      </c>
      <c r="G977">
        <v>2</v>
      </c>
      <c r="I977" t="s">
        <v>46</v>
      </c>
      <c r="J977">
        <v>1</v>
      </c>
      <c r="K977">
        <v>2</v>
      </c>
    </row>
    <row r="978" spans="1:11" x14ac:dyDescent="0.35">
      <c r="A978" t="s">
        <v>1227</v>
      </c>
      <c r="B978" s="4" t="s">
        <v>1224</v>
      </c>
      <c r="C978">
        <v>8</v>
      </c>
      <c r="D978" t="s">
        <v>45</v>
      </c>
      <c r="E978" s="7">
        <v>-4</v>
      </c>
      <c r="F978">
        <v>-200</v>
      </c>
      <c r="G978">
        <v>2</v>
      </c>
      <c r="I978" t="s">
        <v>46</v>
      </c>
      <c r="J978">
        <v>1</v>
      </c>
      <c r="K978">
        <v>0</v>
      </c>
    </row>
    <row r="979" spans="1:11" x14ac:dyDescent="0.35">
      <c r="A979" t="s">
        <v>1228</v>
      </c>
      <c r="B979" s="4" t="s">
        <v>1229</v>
      </c>
      <c r="C979">
        <v>25</v>
      </c>
      <c r="D979" t="s">
        <v>71</v>
      </c>
      <c r="E979" s="7">
        <v>38</v>
      </c>
      <c r="F979">
        <v>1900</v>
      </c>
      <c r="G979">
        <v>4</v>
      </c>
      <c r="H979">
        <v>4</v>
      </c>
      <c r="I979" t="s">
        <v>72</v>
      </c>
      <c r="J979">
        <v>1</v>
      </c>
      <c r="K979">
        <v>327</v>
      </c>
    </row>
    <row r="980" spans="1:11" x14ac:dyDescent="0.35">
      <c r="A980" t="s">
        <v>1230</v>
      </c>
      <c r="B980" s="4" t="s">
        <v>1229</v>
      </c>
      <c r="C980">
        <v>21</v>
      </c>
      <c r="D980" t="s">
        <v>71</v>
      </c>
      <c r="E980" s="7">
        <v>48</v>
      </c>
      <c r="F980">
        <v>2400</v>
      </c>
      <c r="G980">
        <v>4</v>
      </c>
      <c r="H980">
        <v>3</v>
      </c>
      <c r="I980" t="s">
        <v>72</v>
      </c>
      <c r="J980">
        <v>1</v>
      </c>
      <c r="K980">
        <v>305</v>
      </c>
    </row>
    <row r="981" spans="1:11" x14ac:dyDescent="0.35">
      <c r="A981" t="s">
        <v>1231</v>
      </c>
      <c r="B981" s="4" t="s">
        <v>1229</v>
      </c>
      <c r="C981">
        <v>17</v>
      </c>
      <c r="D981" t="s">
        <v>71</v>
      </c>
      <c r="E981" s="7">
        <v>40</v>
      </c>
      <c r="F981">
        <v>2000</v>
      </c>
      <c r="G981">
        <v>4</v>
      </c>
      <c r="H981">
        <v>2</v>
      </c>
      <c r="I981" t="s">
        <v>72</v>
      </c>
      <c r="J981">
        <v>1</v>
      </c>
      <c r="K981">
        <v>285</v>
      </c>
    </row>
    <row r="982" spans="1:11" x14ac:dyDescent="0.35">
      <c r="A982" t="s">
        <v>1232</v>
      </c>
      <c r="B982" s="4" t="s">
        <v>1229</v>
      </c>
      <c r="C982">
        <v>1</v>
      </c>
      <c r="D982" t="s">
        <v>45</v>
      </c>
      <c r="E982" s="7">
        <v>-3</v>
      </c>
      <c r="F982">
        <v>-75</v>
      </c>
      <c r="G982">
        <v>1</v>
      </c>
      <c r="I982" t="s">
        <v>46</v>
      </c>
      <c r="J982">
        <v>1</v>
      </c>
      <c r="K982">
        <v>8</v>
      </c>
    </row>
    <row r="983" spans="1:11" x14ac:dyDescent="0.35">
      <c r="A983" t="s">
        <v>1233</v>
      </c>
      <c r="B983" s="4" t="s">
        <v>1229</v>
      </c>
      <c r="C983">
        <v>1</v>
      </c>
      <c r="D983" t="s">
        <v>45</v>
      </c>
      <c r="E983" s="7">
        <v>-5</v>
      </c>
      <c r="F983">
        <v>-125</v>
      </c>
      <c r="G983">
        <v>2</v>
      </c>
      <c r="I983" t="s">
        <v>54</v>
      </c>
      <c r="J983">
        <v>1</v>
      </c>
      <c r="K983">
        <v>3</v>
      </c>
    </row>
    <row r="984" spans="1:11" x14ac:dyDescent="0.35">
      <c r="A984" t="s">
        <v>1234</v>
      </c>
      <c r="B984" s="4" t="s">
        <v>1235</v>
      </c>
      <c r="C984">
        <v>1</v>
      </c>
      <c r="D984" t="s">
        <v>45</v>
      </c>
      <c r="E984" s="7">
        <v>-2</v>
      </c>
      <c r="F984">
        <v>-50</v>
      </c>
      <c r="G984">
        <v>3</v>
      </c>
      <c r="I984" t="s">
        <v>62</v>
      </c>
      <c r="J984">
        <v>1</v>
      </c>
      <c r="K984">
        <v>1</v>
      </c>
    </row>
    <row r="985" spans="1:11" x14ac:dyDescent="0.35">
      <c r="A985" t="s">
        <v>1236</v>
      </c>
      <c r="B985" s="4" t="s">
        <v>1237</v>
      </c>
      <c r="C985">
        <v>4</v>
      </c>
      <c r="D985" t="s">
        <v>45</v>
      </c>
      <c r="E985" s="7">
        <v>-2</v>
      </c>
      <c r="F985">
        <v>-100</v>
      </c>
      <c r="G985">
        <v>3</v>
      </c>
      <c r="I985" t="s">
        <v>46</v>
      </c>
      <c r="J985">
        <v>1</v>
      </c>
      <c r="K985">
        <v>0</v>
      </c>
    </row>
    <row r="986" spans="1:11" x14ac:dyDescent="0.35">
      <c r="A986" t="s">
        <v>1238</v>
      </c>
      <c r="B986" s="4" t="s">
        <v>1239</v>
      </c>
      <c r="C986">
        <v>26</v>
      </c>
      <c r="D986" t="s">
        <v>71</v>
      </c>
      <c r="E986" s="7">
        <v>44</v>
      </c>
      <c r="F986">
        <v>2200</v>
      </c>
      <c r="G986">
        <v>4</v>
      </c>
      <c r="H986">
        <v>4</v>
      </c>
      <c r="I986" t="s">
        <v>72</v>
      </c>
      <c r="J986">
        <v>1</v>
      </c>
      <c r="K986">
        <v>359</v>
      </c>
    </row>
    <row r="987" spans="1:11" x14ac:dyDescent="0.35">
      <c r="A987" t="s">
        <v>1240</v>
      </c>
      <c r="B987" s="4" t="s">
        <v>1239</v>
      </c>
      <c r="C987">
        <v>35</v>
      </c>
      <c r="D987" t="s">
        <v>71</v>
      </c>
      <c r="E987" s="7">
        <v>33</v>
      </c>
      <c r="F987">
        <v>1650</v>
      </c>
      <c r="G987">
        <v>4</v>
      </c>
      <c r="H987">
        <v>3</v>
      </c>
      <c r="I987" t="s">
        <v>72</v>
      </c>
      <c r="J987">
        <v>1</v>
      </c>
      <c r="K987">
        <v>300</v>
      </c>
    </row>
    <row r="988" spans="1:11" x14ac:dyDescent="0.35">
      <c r="A988" t="s">
        <v>1241</v>
      </c>
      <c r="B988" s="4" t="s">
        <v>1239</v>
      </c>
      <c r="C988">
        <v>28</v>
      </c>
      <c r="D988" t="s">
        <v>71</v>
      </c>
      <c r="E988" s="7">
        <v>49</v>
      </c>
      <c r="F988">
        <v>2450</v>
      </c>
      <c r="G988">
        <v>4</v>
      </c>
      <c r="H988">
        <v>2</v>
      </c>
      <c r="I988" t="s">
        <v>72</v>
      </c>
      <c r="J988">
        <v>1</v>
      </c>
      <c r="K988">
        <v>373</v>
      </c>
    </row>
    <row r="989" spans="1:11" x14ac:dyDescent="0.35">
      <c r="A989" t="s">
        <v>1242</v>
      </c>
      <c r="B989" s="4" t="s">
        <v>1239</v>
      </c>
      <c r="C989">
        <v>11</v>
      </c>
      <c r="D989" t="s">
        <v>71</v>
      </c>
      <c r="E989" s="7">
        <v>27</v>
      </c>
      <c r="F989">
        <v>1350</v>
      </c>
      <c r="G989">
        <v>4</v>
      </c>
      <c r="H989">
        <v>4</v>
      </c>
      <c r="I989" t="s">
        <v>72</v>
      </c>
      <c r="J989">
        <v>1</v>
      </c>
      <c r="K989">
        <v>28</v>
      </c>
    </row>
    <row r="990" spans="1:11" x14ac:dyDescent="0.35">
      <c r="A990" t="s">
        <v>1243</v>
      </c>
      <c r="B990" s="4" t="s">
        <v>1239</v>
      </c>
      <c r="C990">
        <v>30</v>
      </c>
      <c r="D990" t="s">
        <v>71</v>
      </c>
      <c r="E990" s="7">
        <v>47</v>
      </c>
      <c r="F990">
        <v>2350</v>
      </c>
      <c r="G990">
        <v>4</v>
      </c>
      <c r="H990">
        <v>2</v>
      </c>
      <c r="I990" t="s">
        <v>72</v>
      </c>
      <c r="J990">
        <v>1</v>
      </c>
      <c r="K990">
        <v>459</v>
      </c>
    </row>
    <row r="991" spans="1:11" x14ac:dyDescent="0.35">
      <c r="A991" t="s">
        <v>1244</v>
      </c>
      <c r="B991" s="4" t="s">
        <v>1245</v>
      </c>
      <c r="C991">
        <v>11</v>
      </c>
      <c r="D991" t="s">
        <v>45</v>
      </c>
      <c r="E991" s="7">
        <v>-7</v>
      </c>
      <c r="F991">
        <v>-350</v>
      </c>
      <c r="G991">
        <v>1</v>
      </c>
      <c r="I991" t="s">
        <v>46</v>
      </c>
      <c r="J991">
        <v>1</v>
      </c>
      <c r="K991">
        <v>21</v>
      </c>
    </row>
    <row r="992" spans="1:11" x14ac:dyDescent="0.35">
      <c r="A992" t="s">
        <v>1246</v>
      </c>
      <c r="B992" s="4" t="s">
        <v>1245</v>
      </c>
      <c r="C992">
        <v>11</v>
      </c>
      <c r="D992" t="s">
        <v>45</v>
      </c>
      <c r="E992" s="7">
        <v>-7</v>
      </c>
      <c r="F992">
        <v>-350</v>
      </c>
      <c r="G992">
        <v>3</v>
      </c>
      <c r="I992" t="s">
        <v>46</v>
      </c>
      <c r="J992">
        <v>1</v>
      </c>
      <c r="K992">
        <v>14</v>
      </c>
    </row>
    <row r="993" spans="1:11" x14ac:dyDescent="0.35">
      <c r="A993" t="s">
        <v>1247</v>
      </c>
      <c r="B993" s="4" t="s">
        <v>1248</v>
      </c>
      <c r="C993">
        <v>11</v>
      </c>
      <c r="D993" t="s">
        <v>71</v>
      </c>
      <c r="E993" s="7">
        <v>24</v>
      </c>
      <c r="F993">
        <v>1200</v>
      </c>
      <c r="G993">
        <v>4</v>
      </c>
      <c r="H993">
        <v>4</v>
      </c>
      <c r="I993" t="s">
        <v>72</v>
      </c>
      <c r="J993">
        <v>1</v>
      </c>
      <c r="K993">
        <v>38</v>
      </c>
    </row>
    <row r="994" spans="1:11" x14ac:dyDescent="0.35">
      <c r="A994" t="s">
        <v>1249</v>
      </c>
      <c r="B994" s="4" t="s">
        <v>1248</v>
      </c>
      <c r="C994">
        <v>26</v>
      </c>
      <c r="D994" t="s">
        <v>71</v>
      </c>
      <c r="E994" s="7">
        <v>50</v>
      </c>
      <c r="F994">
        <v>2500</v>
      </c>
      <c r="G994">
        <v>4</v>
      </c>
      <c r="H994">
        <v>4</v>
      </c>
      <c r="I994" t="s">
        <v>72</v>
      </c>
      <c r="J994">
        <v>1</v>
      </c>
      <c r="K994">
        <v>409</v>
      </c>
    </row>
    <row r="995" spans="1:11" x14ac:dyDescent="0.35">
      <c r="A995" t="s">
        <v>1250</v>
      </c>
      <c r="B995" s="4" t="s">
        <v>1248</v>
      </c>
      <c r="C995">
        <v>11</v>
      </c>
      <c r="D995" t="s">
        <v>45</v>
      </c>
      <c r="E995" s="7">
        <v>-5</v>
      </c>
      <c r="F995">
        <v>-250</v>
      </c>
      <c r="G995">
        <v>1</v>
      </c>
      <c r="I995" t="s">
        <v>46</v>
      </c>
      <c r="J995">
        <v>1</v>
      </c>
      <c r="K995">
        <v>33</v>
      </c>
    </row>
    <row r="996" spans="1:11" x14ac:dyDescent="0.35">
      <c r="A996" t="s">
        <v>1251</v>
      </c>
      <c r="B996" s="4" t="s">
        <v>1248</v>
      </c>
      <c r="C996">
        <v>11</v>
      </c>
      <c r="D996" t="s">
        <v>45</v>
      </c>
      <c r="E996" s="7">
        <v>-7</v>
      </c>
      <c r="F996">
        <v>-350</v>
      </c>
      <c r="G996">
        <v>3</v>
      </c>
      <c r="I996" t="s">
        <v>46</v>
      </c>
      <c r="J996">
        <v>1</v>
      </c>
      <c r="K996">
        <v>26</v>
      </c>
    </row>
    <row r="997" spans="1:11" x14ac:dyDescent="0.35">
      <c r="A997" t="s">
        <v>1252</v>
      </c>
      <c r="B997" s="4" t="s">
        <v>1253</v>
      </c>
      <c r="C997">
        <v>11</v>
      </c>
      <c r="D997" t="s">
        <v>45</v>
      </c>
      <c r="E997" s="7">
        <v>-2</v>
      </c>
      <c r="F997">
        <v>-100</v>
      </c>
      <c r="G997">
        <v>1</v>
      </c>
      <c r="I997" t="s">
        <v>46</v>
      </c>
      <c r="J997">
        <v>1</v>
      </c>
      <c r="K997">
        <v>24</v>
      </c>
    </row>
    <row r="998" spans="1:11" x14ac:dyDescent="0.35">
      <c r="A998" t="s">
        <v>1254</v>
      </c>
      <c r="B998" s="4" t="s">
        <v>1253</v>
      </c>
      <c r="C998">
        <v>11</v>
      </c>
      <c r="D998" t="s">
        <v>45</v>
      </c>
      <c r="E998" s="7">
        <v>-3</v>
      </c>
      <c r="F998">
        <v>-150</v>
      </c>
      <c r="G998">
        <v>3</v>
      </c>
      <c r="I998" t="s">
        <v>46</v>
      </c>
      <c r="J998">
        <v>1</v>
      </c>
      <c r="K998">
        <v>21</v>
      </c>
    </row>
    <row r="999" spans="1:11" x14ac:dyDescent="0.35">
      <c r="A999" t="s">
        <v>1255</v>
      </c>
      <c r="B999" s="4" t="s">
        <v>1256</v>
      </c>
      <c r="C999">
        <v>29</v>
      </c>
      <c r="D999" t="s">
        <v>71</v>
      </c>
      <c r="E999" s="7">
        <v>29</v>
      </c>
      <c r="F999">
        <v>1450</v>
      </c>
      <c r="G999">
        <v>4</v>
      </c>
      <c r="H999">
        <v>4</v>
      </c>
      <c r="I999" t="s">
        <v>72</v>
      </c>
      <c r="J999">
        <v>1</v>
      </c>
      <c r="K999">
        <v>430</v>
      </c>
    </row>
    <row r="1000" spans="1:11" x14ac:dyDescent="0.35">
      <c r="A1000" t="s">
        <v>1257</v>
      </c>
      <c r="B1000" s="4" t="s">
        <v>1256</v>
      </c>
      <c r="C1000">
        <v>2</v>
      </c>
      <c r="D1000" t="s">
        <v>71</v>
      </c>
      <c r="E1000" s="7">
        <v>54</v>
      </c>
      <c r="F1000">
        <v>2700</v>
      </c>
      <c r="G1000">
        <v>4</v>
      </c>
      <c r="H1000">
        <v>1</v>
      </c>
      <c r="I1000" t="s">
        <v>72</v>
      </c>
      <c r="J1000">
        <v>1</v>
      </c>
      <c r="K1000">
        <v>405</v>
      </c>
    </row>
    <row r="1001" spans="1:11" x14ac:dyDescent="0.35">
      <c r="A1001" t="s">
        <v>1258</v>
      </c>
      <c r="B1001" s="4" t="s">
        <v>1256</v>
      </c>
      <c r="C1001">
        <v>17</v>
      </c>
      <c r="D1001" t="s">
        <v>71</v>
      </c>
      <c r="E1001" s="7">
        <v>29</v>
      </c>
      <c r="F1001">
        <v>1450</v>
      </c>
      <c r="G1001">
        <v>4</v>
      </c>
      <c r="H1001">
        <v>2</v>
      </c>
      <c r="I1001" t="s">
        <v>72</v>
      </c>
      <c r="J1001">
        <v>1</v>
      </c>
      <c r="K1001">
        <v>314</v>
      </c>
    </row>
    <row r="1002" spans="1:11" x14ac:dyDescent="0.35">
      <c r="A1002" t="s">
        <v>1259</v>
      </c>
      <c r="B1002" s="4" t="s">
        <v>1256</v>
      </c>
      <c r="C1002">
        <v>32</v>
      </c>
      <c r="D1002" t="s">
        <v>71</v>
      </c>
      <c r="E1002" s="7">
        <v>37</v>
      </c>
      <c r="F1002">
        <v>1850</v>
      </c>
      <c r="G1002">
        <v>4</v>
      </c>
      <c r="H1002">
        <v>4</v>
      </c>
      <c r="I1002" t="s">
        <v>72</v>
      </c>
      <c r="J1002">
        <v>1</v>
      </c>
      <c r="K1002">
        <v>387</v>
      </c>
    </row>
    <row r="1003" spans="1:11" x14ac:dyDescent="0.35">
      <c r="A1003" t="s">
        <v>1260</v>
      </c>
      <c r="B1003" s="4" t="s">
        <v>1256</v>
      </c>
      <c r="C1003">
        <v>11</v>
      </c>
      <c r="D1003" t="s">
        <v>45</v>
      </c>
      <c r="E1003" s="7">
        <v>-6</v>
      </c>
      <c r="F1003">
        <v>-300</v>
      </c>
      <c r="G1003">
        <v>1</v>
      </c>
      <c r="I1003" t="s">
        <v>46</v>
      </c>
      <c r="J1003">
        <v>1</v>
      </c>
      <c r="K1003">
        <v>15</v>
      </c>
    </row>
    <row r="1004" spans="1:11" x14ac:dyDescent="0.35">
      <c r="A1004" t="s">
        <v>1261</v>
      </c>
      <c r="B1004" s="4" t="s">
        <v>1262</v>
      </c>
      <c r="C1004">
        <v>32</v>
      </c>
      <c r="D1004" t="s">
        <v>71</v>
      </c>
      <c r="E1004" s="7">
        <v>22</v>
      </c>
      <c r="F1004">
        <v>1100</v>
      </c>
      <c r="G1004">
        <v>4</v>
      </c>
      <c r="H1004">
        <v>4</v>
      </c>
      <c r="I1004" t="s">
        <v>72</v>
      </c>
      <c r="J1004">
        <v>1</v>
      </c>
      <c r="K1004">
        <v>409</v>
      </c>
    </row>
    <row r="1005" spans="1:11" x14ac:dyDescent="0.35">
      <c r="A1005" t="s">
        <v>1263</v>
      </c>
      <c r="B1005" s="4" t="s">
        <v>1262</v>
      </c>
      <c r="C1005">
        <v>24</v>
      </c>
      <c r="D1005" t="s">
        <v>71</v>
      </c>
      <c r="E1005" s="7">
        <v>21</v>
      </c>
      <c r="F1005">
        <v>1050</v>
      </c>
      <c r="G1005">
        <v>4</v>
      </c>
      <c r="H1005">
        <v>3</v>
      </c>
      <c r="I1005" t="s">
        <v>72</v>
      </c>
      <c r="J1005">
        <v>1</v>
      </c>
      <c r="K1005">
        <v>380</v>
      </c>
    </row>
    <row r="1006" spans="1:11" x14ac:dyDescent="0.35">
      <c r="A1006" t="s">
        <v>1264</v>
      </c>
      <c r="B1006" s="4" t="s">
        <v>1262</v>
      </c>
      <c r="C1006">
        <v>6</v>
      </c>
      <c r="D1006" t="s">
        <v>71</v>
      </c>
      <c r="E1006" s="7">
        <v>30</v>
      </c>
      <c r="F1006">
        <v>1500</v>
      </c>
      <c r="G1006">
        <v>4</v>
      </c>
      <c r="H1006">
        <v>4</v>
      </c>
      <c r="I1006" t="s">
        <v>72</v>
      </c>
      <c r="J1006">
        <v>1</v>
      </c>
      <c r="K1006">
        <v>31</v>
      </c>
    </row>
    <row r="1007" spans="1:11" x14ac:dyDescent="0.35">
      <c r="A1007" t="s">
        <v>1265</v>
      </c>
      <c r="B1007" s="4" t="s">
        <v>1262</v>
      </c>
      <c r="C1007">
        <v>29</v>
      </c>
      <c r="D1007" t="s">
        <v>71</v>
      </c>
      <c r="E1007" s="7">
        <v>49</v>
      </c>
      <c r="F1007">
        <v>2450</v>
      </c>
      <c r="G1007">
        <v>4</v>
      </c>
      <c r="H1007">
        <v>4</v>
      </c>
      <c r="I1007" t="s">
        <v>72</v>
      </c>
      <c r="J1007">
        <v>1</v>
      </c>
      <c r="K1007">
        <v>479</v>
      </c>
    </row>
    <row r="1008" spans="1:11" x14ac:dyDescent="0.35">
      <c r="A1008" t="s">
        <v>1266</v>
      </c>
      <c r="B1008" s="4" t="s">
        <v>1262</v>
      </c>
      <c r="C1008">
        <v>6</v>
      </c>
      <c r="D1008" t="s">
        <v>45</v>
      </c>
      <c r="E1008" s="7">
        <v>-4</v>
      </c>
      <c r="F1008">
        <v>-200</v>
      </c>
      <c r="G1008">
        <v>1</v>
      </c>
      <c r="I1008" t="s">
        <v>46</v>
      </c>
      <c r="J1008">
        <v>1</v>
      </c>
      <c r="K1008">
        <v>27</v>
      </c>
    </row>
    <row r="1009" spans="1:11" x14ac:dyDescent="0.35">
      <c r="A1009" t="s">
        <v>1267</v>
      </c>
      <c r="B1009" s="4" t="s">
        <v>1262</v>
      </c>
      <c r="C1009">
        <v>6</v>
      </c>
      <c r="D1009" t="s">
        <v>45</v>
      </c>
      <c r="E1009" s="7">
        <v>-5</v>
      </c>
      <c r="F1009">
        <v>-250</v>
      </c>
      <c r="G1009">
        <v>2</v>
      </c>
      <c r="I1009" t="s">
        <v>46</v>
      </c>
      <c r="J1009">
        <v>1</v>
      </c>
      <c r="K1009">
        <v>22</v>
      </c>
    </row>
    <row r="1010" spans="1:11" x14ac:dyDescent="0.35">
      <c r="A1010" t="s">
        <v>1268</v>
      </c>
      <c r="B1010" s="4" t="s">
        <v>1262</v>
      </c>
      <c r="C1010">
        <v>11</v>
      </c>
      <c r="D1010" t="s">
        <v>45</v>
      </c>
      <c r="E1010" s="7">
        <v>-3</v>
      </c>
      <c r="F1010">
        <v>-150</v>
      </c>
      <c r="G1010">
        <v>2</v>
      </c>
      <c r="I1010" t="s">
        <v>46</v>
      </c>
      <c r="J1010">
        <v>1</v>
      </c>
      <c r="K1010">
        <v>12</v>
      </c>
    </row>
    <row r="1011" spans="1:11" x14ac:dyDescent="0.35">
      <c r="A1011" t="s">
        <v>1269</v>
      </c>
      <c r="B1011" s="4" t="s">
        <v>1262</v>
      </c>
      <c r="C1011">
        <v>6</v>
      </c>
      <c r="D1011" t="s">
        <v>45</v>
      </c>
      <c r="E1011" s="7">
        <v>-3</v>
      </c>
      <c r="F1011">
        <v>-150</v>
      </c>
      <c r="G1011">
        <v>3</v>
      </c>
      <c r="I1011" t="s">
        <v>46</v>
      </c>
      <c r="J1011">
        <v>1</v>
      </c>
      <c r="K1011">
        <v>19</v>
      </c>
    </row>
    <row r="1012" spans="1:11" x14ac:dyDescent="0.35">
      <c r="A1012" t="s">
        <v>1270</v>
      </c>
      <c r="B1012" s="4" t="s">
        <v>1262</v>
      </c>
      <c r="C1012">
        <v>11</v>
      </c>
      <c r="D1012" t="s">
        <v>45</v>
      </c>
      <c r="E1012" s="7">
        <v>-7</v>
      </c>
      <c r="F1012">
        <v>-350</v>
      </c>
      <c r="G1012">
        <v>3</v>
      </c>
      <c r="I1012" t="s">
        <v>46</v>
      </c>
      <c r="J1012">
        <v>1</v>
      </c>
      <c r="K1012">
        <v>5</v>
      </c>
    </row>
    <row r="1013" spans="1:11" x14ac:dyDescent="0.35">
      <c r="A1013" t="s">
        <v>1271</v>
      </c>
      <c r="B1013" s="4" t="s">
        <v>1272</v>
      </c>
      <c r="C1013">
        <v>12</v>
      </c>
      <c r="D1013" t="s">
        <v>71</v>
      </c>
      <c r="E1013" s="7">
        <v>42</v>
      </c>
      <c r="F1013">
        <v>2100</v>
      </c>
      <c r="G1013">
        <v>4</v>
      </c>
      <c r="H1013">
        <v>3</v>
      </c>
      <c r="I1013" t="s">
        <v>72</v>
      </c>
      <c r="J1013">
        <v>1</v>
      </c>
      <c r="K1013">
        <v>42</v>
      </c>
    </row>
    <row r="1014" spans="1:11" x14ac:dyDescent="0.35">
      <c r="A1014" t="s">
        <v>1273</v>
      </c>
      <c r="B1014" s="4" t="s">
        <v>1272</v>
      </c>
      <c r="C1014">
        <v>21</v>
      </c>
      <c r="D1014" t="s">
        <v>71</v>
      </c>
      <c r="E1014" s="7">
        <v>29</v>
      </c>
      <c r="F1014">
        <v>1450</v>
      </c>
      <c r="G1014">
        <v>4</v>
      </c>
      <c r="H1014">
        <v>3</v>
      </c>
      <c r="I1014" t="s">
        <v>72</v>
      </c>
      <c r="J1014">
        <v>1</v>
      </c>
      <c r="K1014">
        <v>334</v>
      </c>
    </row>
    <row r="1015" spans="1:11" x14ac:dyDescent="0.35">
      <c r="A1015" t="s">
        <v>1274</v>
      </c>
      <c r="B1015" s="4" t="s">
        <v>1272</v>
      </c>
      <c r="C1015">
        <v>5</v>
      </c>
      <c r="D1015" t="s">
        <v>71</v>
      </c>
      <c r="E1015" s="7">
        <v>33</v>
      </c>
      <c r="F1015">
        <v>1650</v>
      </c>
      <c r="G1015">
        <v>4</v>
      </c>
      <c r="H1015">
        <v>3</v>
      </c>
      <c r="I1015" t="s">
        <v>72</v>
      </c>
      <c r="J1015">
        <v>1</v>
      </c>
      <c r="K1015">
        <v>34</v>
      </c>
    </row>
    <row r="1016" spans="1:11" x14ac:dyDescent="0.35">
      <c r="A1016" t="s">
        <v>1275</v>
      </c>
      <c r="B1016" s="4" t="s">
        <v>1272</v>
      </c>
      <c r="C1016">
        <v>8</v>
      </c>
      <c r="D1016" t="s">
        <v>71</v>
      </c>
      <c r="E1016" s="7">
        <v>30</v>
      </c>
      <c r="F1016">
        <v>1500</v>
      </c>
      <c r="G1016">
        <v>4</v>
      </c>
      <c r="H1016">
        <v>4</v>
      </c>
      <c r="I1016" t="s">
        <v>72</v>
      </c>
      <c r="J1016">
        <v>1</v>
      </c>
      <c r="K1016">
        <v>30</v>
      </c>
    </row>
    <row r="1017" spans="1:11" x14ac:dyDescent="0.35">
      <c r="A1017" t="s">
        <v>1276</v>
      </c>
      <c r="B1017" s="4" t="s">
        <v>1272</v>
      </c>
      <c r="C1017">
        <v>29</v>
      </c>
      <c r="D1017" t="s">
        <v>71</v>
      </c>
      <c r="E1017" s="7">
        <v>46</v>
      </c>
      <c r="F1017">
        <v>2300</v>
      </c>
      <c r="G1017">
        <v>4</v>
      </c>
      <c r="H1017">
        <v>4</v>
      </c>
      <c r="I1017" t="s">
        <v>72</v>
      </c>
      <c r="J1017">
        <v>1</v>
      </c>
      <c r="K1017">
        <v>525</v>
      </c>
    </row>
    <row r="1018" spans="1:11" x14ac:dyDescent="0.35">
      <c r="A1018" t="s">
        <v>1277</v>
      </c>
      <c r="B1018" s="4" t="s">
        <v>1272</v>
      </c>
      <c r="C1018">
        <v>6</v>
      </c>
      <c r="D1018" t="s">
        <v>45</v>
      </c>
      <c r="E1018" s="7">
        <v>-5</v>
      </c>
      <c r="F1018">
        <v>-250</v>
      </c>
      <c r="G1018">
        <v>1</v>
      </c>
      <c r="I1018" t="s">
        <v>46</v>
      </c>
      <c r="J1018">
        <v>1</v>
      </c>
      <c r="K1018">
        <v>14</v>
      </c>
    </row>
    <row r="1019" spans="1:11" x14ac:dyDescent="0.35">
      <c r="A1019" t="s">
        <v>1278</v>
      </c>
      <c r="B1019" s="4" t="s">
        <v>1272</v>
      </c>
      <c r="C1019">
        <v>8</v>
      </c>
      <c r="D1019" t="s">
        <v>45</v>
      </c>
      <c r="E1019" s="7">
        <v>-2</v>
      </c>
      <c r="F1019">
        <v>-100</v>
      </c>
      <c r="G1019">
        <v>1</v>
      </c>
      <c r="I1019" t="s">
        <v>46</v>
      </c>
      <c r="J1019">
        <v>1</v>
      </c>
      <c r="K1019">
        <v>28</v>
      </c>
    </row>
    <row r="1020" spans="1:11" x14ac:dyDescent="0.35">
      <c r="A1020" t="s">
        <v>1279</v>
      </c>
      <c r="B1020" s="4" t="s">
        <v>1272</v>
      </c>
      <c r="C1020">
        <v>11</v>
      </c>
      <c r="D1020" t="s">
        <v>45</v>
      </c>
      <c r="E1020" s="7">
        <v>-4</v>
      </c>
      <c r="F1020">
        <v>-200</v>
      </c>
      <c r="G1020">
        <v>1</v>
      </c>
      <c r="I1020" t="s">
        <v>46</v>
      </c>
      <c r="J1020">
        <v>1</v>
      </c>
      <c r="K1020">
        <v>1</v>
      </c>
    </row>
    <row r="1021" spans="1:11" x14ac:dyDescent="0.35">
      <c r="A1021" t="s">
        <v>1280</v>
      </c>
      <c r="B1021" s="4" t="s">
        <v>1272</v>
      </c>
      <c r="C1021">
        <v>12</v>
      </c>
      <c r="D1021" t="s">
        <v>45</v>
      </c>
      <c r="E1021" s="7">
        <v>-6</v>
      </c>
      <c r="F1021">
        <v>-300</v>
      </c>
      <c r="G1021">
        <v>1</v>
      </c>
      <c r="I1021" t="s">
        <v>46</v>
      </c>
      <c r="J1021">
        <v>1</v>
      </c>
      <c r="K1021">
        <v>36</v>
      </c>
    </row>
    <row r="1022" spans="1:11" x14ac:dyDescent="0.35">
      <c r="A1022" t="s">
        <v>1281</v>
      </c>
      <c r="B1022" s="4" t="s">
        <v>1272</v>
      </c>
      <c r="C1022">
        <v>6</v>
      </c>
      <c r="D1022" t="s">
        <v>45</v>
      </c>
      <c r="E1022" s="7">
        <v>-4</v>
      </c>
      <c r="F1022">
        <v>-200</v>
      </c>
      <c r="G1022">
        <v>2</v>
      </c>
      <c r="I1022" t="s">
        <v>46</v>
      </c>
      <c r="J1022">
        <v>1</v>
      </c>
      <c r="K1022">
        <v>10</v>
      </c>
    </row>
    <row r="1023" spans="1:11" x14ac:dyDescent="0.35">
      <c r="A1023" t="s">
        <v>1282</v>
      </c>
      <c r="B1023" s="4" t="s">
        <v>1272</v>
      </c>
      <c r="C1023">
        <v>8</v>
      </c>
      <c r="D1023" t="s">
        <v>45</v>
      </c>
      <c r="E1023" s="7">
        <v>-5</v>
      </c>
      <c r="F1023">
        <v>-250</v>
      </c>
      <c r="G1023">
        <v>2</v>
      </c>
      <c r="I1023" t="s">
        <v>46</v>
      </c>
      <c r="J1023">
        <v>1</v>
      </c>
      <c r="K1023">
        <v>23</v>
      </c>
    </row>
    <row r="1024" spans="1:11" x14ac:dyDescent="0.35">
      <c r="A1024" t="s">
        <v>1283</v>
      </c>
      <c r="B1024" s="4" t="s">
        <v>1272</v>
      </c>
      <c r="C1024">
        <v>12</v>
      </c>
      <c r="D1024" t="s">
        <v>45</v>
      </c>
      <c r="E1024" s="7">
        <v>-4</v>
      </c>
      <c r="F1024">
        <v>-200</v>
      </c>
      <c r="G1024">
        <v>2</v>
      </c>
      <c r="I1024" t="s">
        <v>46</v>
      </c>
      <c r="J1024">
        <v>1</v>
      </c>
      <c r="K1024">
        <v>32</v>
      </c>
    </row>
    <row r="1025" spans="1:11" x14ac:dyDescent="0.35">
      <c r="A1025" t="s">
        <v>1284</v>
      </c>
      <c r="B1025" s="4" t="s">
        <v>1272</v>
      </c>
      <c r="C1025">
        <v>5</v>
      </c>
      <c r="D1025" t="s">
        <v>45</v>
      </c>
      <c r="E1025" s="7">
        <v>-2</v>
      </c>
      <c r="F1025">
        <v>-100</v>
      </c>
      <c r="G1025">
        <v>3</v>
      </c>
      <c r="I1025" t="s">
        <v>46</v>
      </c>
      <c r="J1025">
        <v>1</v>
      </c>
      <c r="K1025">
        <v>32</v>
      </c>
    </row>
    <row r="1026" spans="1:11" x14ac:dyDescent="0.35">
      <c r="A1026" t="s">
        <v>1285</v>
      </c>
      <c r="B1026" s="4" t="s">
        <v>1272</v>
      </c>
      <c r="C1026">
        <v>6</v>
      </c>
      <c r="D1026" t="s">
        <v>45</v>
      </c>
      <c r="E1026" s="7">
        <v>-5</v>
      </c>
      <c r="F1026">
        <v>-250</v>
      </c>
      <c r="G1026">
        <v>3</v>
      </c>
      <c r="I1026" t="s">
        <v>46</v>
      </c>
      <c r="J1026">
        <v>1</v>
      </c>
      <c r="K1026">
        <v>5</v>
      </c>
    </row>
    <row r="1027" spans="1:11" x14ac:dyDescent="0.35">
      <c r="A1027" t="s">
        <v>1286</v>
      </c>
      <c r="B1027" s="4" t="s">
        <v>1272</v>
      </c>
      <c r="C1027">
        <v>8</v>
      </c>
      <c r="D1027" t="s">
        <v>45</v>
      </c>
      <c r="E1027" s="7">
        <v>-2</v>
      </c>
      <c r="F1027">
        <v>-100</v>
      </c>
      <c r="G1027">
        <v>3</v>
      </c>
      <c r="I1027" t="s">
        <v>46</v>
      </c>
      <c r="J1027">
        <v>1</v>
      </c>
      <c r="K1027">
        <v>21</v>
      </c>
    </row>
    <row r="1028" spans="1:11" x14ac:dyDescent="0.35">
      <c r="A1028" t="s">
        <v>1287</v>
      </c>
      <c r="B1028" s="4" t="s">
        <v>1272</v>
      </c>
      <c r="C1028">
        <v>12</v>
      </c>
      <c r="D1028" t="s">
        <v>45</v>
      </c>
      <c r="E1028" s="7">
        <v>-2</v>
      </c>
      <c r="F1028">
        <v>-100</v>
      </c>
      <c r="G1028">
        <v>3</v>
      </c>
      <c r="I1028" t="s">
        <v>46</v>
      </c>
      <c r="J1028">
        <v>1</v>
      </c>
      <c r="K1028">
        <v>30</v>
      </c>
    </row>
    <row r="1029" spans="1:11" x14ac:dyDescent="0.35">
      <c r="A1029" t="s">
        <v>1288</v>
      </c>
      <c r="B1029" s="4" t="s">
        <v>1289</v>
      </c>
      <c r="C1029">
        <v>5</v>
      </c>
      <c r="D1029" t="s">
        <v>45</v>
      </c>
      <c r="E1029" s="7">
        <v>-4</v>
      </c>
      <c r="F1029">
        <v>-200</v>
      </c>
      <c r="G1029">
        <v>1</v>
      </c>
      <c r="I1029" t="s">
        <v>46</v>
      </c>
      <c r="J1029">
        <v>1</v>
      </c>
      <c r="K1029">
        <v>28</v>
      </c>
    </row>
    <row r="1030" spans="1:11" x14ac:dyDescent="0.35">
      <c r="A1030" t="s">
        <v>1290</v>
      </c>
      <c r="B1030" s="4" t="s">
        <v>1289</v>
      </c>
      <c r="C1030">
        <v>5</v>
      </c>
      <c r="D1030" t="s">
        <v>45</v>
      </c>
      <c r="E1030" s="7">
        <v>-7</v>
      </c>
      <c r="F1030">
        <v>-350</v>
      </c>
      <c r="G1030">
        <v>2</v>
      </c>
      <c r="I1030" t="s">
        <v>46</v>
      </c>
      <c r="J1030">
        <v>1</v>
      </c>
      <c r="K1030">
        <v>21</v>
      </c>
    </row>
    <row r="1031" spans="1:11" x14ac:dyDescent="0.35">
      <c r="A1031" t="s">
        <v>1291</v>
      </c>
      <c r="B1031" s="4" t="s">
        <v>1289</v>
      </c>
      <c r="C1031">
        <v>8</v>
      </c>
      <c r="D1031" t="s">
        <v>45</v>
      </c>
      <c r="E1031" s="7">
        <v>-3</v>
      </c>
      <c r="F1031">
        <v>-150</v>
      </c>
      <c r="G1031">
        <v>2</v>
      </c>
      <c r="I1031" t="s">
        <v>46</v>
      </c>
      <c r="J1031">
        <v>1</v>
      </c>
      <c r="K1031">
        <v>18</v>
      </c>
    </row>
    <row r="1032" spans="1:11" x14ac:dyDescent="0.35">
      <c r="A1032" t="s">
        <v>1292</v>
      </c>
      <c r="B1032" s="4" t="s">
        <v>1289</v>
      </c>
      <c r="C1032">
        <v>5</v>
      </c>
      <c r="D1032" t="s">
        <v>45</v>
      </c>
      <c r="E1032" s="7">
        <v>-3</v>
      </c>
      <c r="F1032">
        <v>-150</v>
      </c>
      <c r="G1032">
        <v>3</v>
      </c>
      <c r="I1032" t="s">
        <v>46</v>
      </c>
      <c r="J1032">
        <v>1</v>
      </c>
      <c r="K1032">
        <v>18</v>
      </c>
    </row>
    <row r="1033" spans="1:11" x14ac:dyDescent="0.35">
      <c r="A1033" t="s">
        <v>1293</v>
      </c>
      <c r="B1033" s="4" t="s">
        <v>1294</v>
      </c>
      <c r="C1033">
        <v>6</v>
      </c>
      <c r="D1033" t="s">
        <v>45</v>
      </c>
      <c r="E1033" s="7">
        <v>-2</v>
      </c>
      <c r="F1033">
        <v>-100</v>
      </c>
      <c r="G1033">
        <v>1</v>
      </c>
      <c r="I1033" t="s">
        <v>46</v>
      </c>
      <c r="J1033">
        <v>1</v>
      </c>
      <c r="K1033">
        <v>3</v>
      </c>
    </row>
    <row r="1034" spans="1:11" x14ac:dyDescent="0.35">
      <c r="A1034" t="s">
        <v>1295</v>
      </c>
      <c r="B1034" s="4" t="s">
        <v>1294</v>
      </c>
      <c r="C1034">
        <v>8</v>
      </c>
      <c r="D1034" t="s">
        <v>45</v>
      </c>
      <c r="E1034" s="7">
        <v>-2</v>
      </c>
      <c r="F1034">
        <v>-100</v>
      </c>
      <c r="G1034">
        <v>1</v>
      </c>
      <c r="I1034" t="s">
        <v>46</v>
      </c>
      <c r="J1034">
        <v>1</v>
      </c>
      <c r="K1034">
        <v>16</v>
      </c>
    </row>
    <row r="1035" spans="1:11" x14ac:dyDescent="0.35">
      <c r="A1035" t="s">
        <v>1296</v>
      </c>
      <c r="B1035" s="4" t="s">
        <v>1294</v>
      </c>
      <c r="C1035">
        <v>12</v>
      </c>
      <c r="D1035" t="s">
        <v>45</v>
      </c>
      <c r="E1035" s="7">
        <v>-5</v>
      </c>
      <c r="F1035">
        <v>-250</v>
      </c>
      <c r="G1035">
        <v>1</v>
      </c>
      <c r="I1035" t="s">
        <v>46</v>
      </c>
      <c r="J1035">
        <v>1</v>
      </c>
      <c r="K1035">
        <v>25</v>
      </c>
    </row>
    <row r="1036" spans="1:11" x14ac:dyDescent="0.35">
      <c r="A1036" t="s">
        <v>1297</v>
      </c>
      <c r="B1036" s="4" t="s">
        <v>1294</v>
      </c>
      <c r="C1036">
        <v>5</v>
      </c>
      <c r="D1036" t="s">
        <v>45</v>
      </c>
      <c r="E1036" s="7">
        <v>-4</v>
      </c>
      <c r="F1036">
        <v>-200</v>
      </c>
      <c r="G1036">
        <v>2</v>
      </c>
      <c r="I1036" t="s">
        <v>46</v>
      </c>
      <c r="J1036">
        <v>1</v>
      </c>
      <c r="K1036">
        <v>14</v>
      </c>
    </row>
    <row r="1037" spans="1:11" x14ac:dyDescent="0.35">
      <c r="A1037" t="s">
        <v>1298</v>
      </c>
      <c r="B1037" s="4" t="s">
        <v>1294</v>
      </c>
      <c r="C1037">
        <v>12</v>
      </c>
      <c r="D1037" t="s">
        <v>45</v>
      </c>
      <c r="E1037" s="7">
        <v>-5</v>
      </c>
      <c r="F1037">
        <v>-250</v>
      </c>
      <c r="G1037">
        <v>2</v>
      </c>
      <c r="I1037" t="s">
        <v>46</v>
      </c>
      <c r="J1037">
        <v>1</v>
      </c>
      <c r="K1037">
        <v>20</v>
      </c>
    </row>
    <row r="1038" spans="1:11" x14ac:dyDescent="0.35">
      <c r="A1038" t="s">
        <v>1299</v>
      </c>
      <c r="B1038" s="4" t="s">
        <v>1294</v>
      </c>
      <c r="C1038">
        <v>6</v>
      </c>
      <c r="D1038" t="s">
        <v>45</v>
      </c>
      <c r="E1038" s="7">
        <v>-2</v>
      </c>
      <c r="F1038">
        <v>-100</v>
      </c>
      <c r="G1038">
        <v>3</v>
      </c>
      <c r="I1038" t="s">
        <v>46</v>
      </c>
      <c r="J1038">
        <v>1</v>
      </c>
      <c r="K1038">
        <v>1</v>
      </c>
    </row>
    <row r="1039" spans="1:11" x14ac:dyDescent="0.35">
      <c r="A1039" t="s">
        <v>1300</v>
      </c>
      <c r="B1039" s="4" t="s">
        <v>1294</v>
      </c>
      <c r="C1039">
        <v>8</v>
      </c>
      <c r="D1039" t="s">
        <v>45</v>
      </c>
      <c r="E1039" s="7">
        <v>-5</v>
      </c>
      <c r="F1039">
        <v>-250</v>
      </c>
      <c r="G1039">
        <v>3</v>
      </c>
      <c r="I1039" t="s">
        <v>46</v>
      </c>
      <c r="J1039">
        <v>1</v>
      </c>
      <c r="K1039">
        <v>11</v>
      </c>
    </row>
    <row r="1040" spans="1:11" x14ac:dyDescent="0.35">
      <c r="A1040" t="s">
        <v>1301</v>
      </c>
      <c r="B1040" s="4" t="s">
        <v>1294</v>
      </c>
      <c r="C1040">
        <v>12</v>
      </c>
      <c r="D1040" t="s">
        <v>45</v>
      </c>
      <c r="E1040" s="7">
        <v>-6</v>
      </c>
      <c r="F1040">
        <v>-300</v>
      </c>
      <c r="G1040">
        <v>3</v>
      </c>
      <c r="I1040" t="s">
        <v>46</v>
      </c>
      <c r="J1040">
        <v>1</v>
      </c>
      <c r="K1040">
        <v>14</v>
      </c>
    </row>
    <row r="1041" spans="1:11" x14ac:dyDescent="0.35">
      <c r="A1041" t="s">
        <v>1302</v>
      </c>
      <c r="B1041" s="4" t="s">
        <v>1303</v>
      </c>
      <c r="C1041">
        <v>2</v>
      </c>
      <c r="D1041" t="s">
        <v>71</v>
      </c>
      <c r="E1041" s="7">
        <v>64</v>
      </c>
      <c r="F1041">
        <v>3200</v>
      </c>
      <c r="G1041">
        <v>4</v>
      </c>
      <c r="H1041">
        <v>1</v>
      </c>
      <c r="I1041" t="s">
        <v>72</v>
      </c>
      <c r="J1041">
        <v>1</v>
      </c>
      <c r="K1041">
        <v>469</v>
      </c>
    </row>
    <row r="1042" spans="1:11" x14ac:dyDescent="0.35">
      <c r="A1042" t="s">
        <v>1304</v>
      </c>
      <c r="B1042" s="4" t="s">
        <v>1303</v>
      </c>
      <c r="C1042">
        <v>8</v>
      </c>
      <c r="D1042" t="s">
        <v>71</v>
      </c>
      <c r="E1042" s="7">
        <v>24</v>
      </c>
      <c r="F1042">
        <v>1200</v>
      </c>
      <c r="G1042">
        <v>4</v>
      </c>
      <c r="H1042">
        <v>4</v>
      </c>
      <c r="I1042" t="s">
        <v>72</v>
      </c>
      <c r="J1042">
        <v>1</v>
      </c>
      <c r="K1042">
        <v>35</v>
      </c>
    </row>
    <row r="1043" spans="1:11" x14ac:dyDescent="0.35">
      <c r="A1043" t="s">
        <v>1305</v>
      </c>
      <c r="B1043" s="4" t="s">
        <v>1303</v>
      </c>
      <c r="C1043">
        <v>16</v>
      </c>
      <c r="D1043" t="s">
        <v>71</v>
      </c>
      <c r="E1043" s="7">
        <v>47</v>
      </c>
      <c r="F1043">
        <v>2350</v>
      </c>
      <c r="G1043">
        <v>4</v>
      </c>
      <c r="H1043">
        <v>1</v>
      </c>
      <c r="I1043" t="s">
        <v>72</v>
      </c>
      <c r="J1043">
        <v>1</v>
      </c>
      <c r="K1043">
        <v>344</v>
      </c>
    </row>
    <row r="1044" spans="1:11" x14ac:dyDescent="0.35">
      <c r="A1044" t="s">
        <v>1306</v>
      </c>
      <c r="B1044" s="4" t="s">
        <v>1303</v>
      </c>
      <c r="C1044">
        <v>6</v>
      </c>
      <c r="D1044" t="s">
        <v>71</v>
      </c>
      <c r="E1044" s="7">
        <v>38</v>
      </c>
      <c r="F1044">
        <v>1900</v>
      </c>
      <c r="G1044">
        <v>4</v>
      </c>
      <c r="H1044">
        <v>4</v>
      </c>
      <c r="I1044" t="s">
        <v>72</v>
      </c>
      <c r="J1044">
        <v>1</v>
      </c>
      <c r="K1044">
        <v>39</v>
      </c>
    </row>
    <row r="1045" spans="1:11" x14ac:dyDescent="0.35">
      <c r="A1045" t="s">
        <v>1307</v>
      </c>
      <c r="B1045" s="4" t="s">
        <v>1303</v>
      </c>
      <c r="C1045">
        <v>1</v>
      </c>
      <c r="D1045" t="s">
        <v>71</v>
      </c>
      <c r="E1045" s="7">
        <v>49</v>
      </c>
      <c r="F1045">
        <v>2450</v>
      </c>
      <c r="G1045">
        <v>4</v>
      </c>
      <c r="H1045">
        <v>1</v>
      </c>
      <c r="I1045" t="s">
        <v>72</v>
      </c>
      <c r="J1045">
        <v>1</v>
      </c>
      <c r="K1045">
        <v>50</v>
      </c>
    </row>
    <row r="1046" spans="1:11" x14ac:dyDescent="0.35">
      <c r="A1046" t="s">
        <v>1308</v>
      </c>
      <c r="B1046" s="4" t="s">
        <v>1303</v>
      </c>
      <c r="C1046">
        <v>1</v>
      </c>
      <c r="D1046" t="s">
        <v>45</v>
      </c>
      <c r="E1046" s="7">
        <v>-4</v>
      </c>
      <c r="F1046">
        <v>-100</v>
      </c>
      <c r="G1046">
        <v>1</v>
      </c>
      <c r="I1046" t="s">
        <v>46</v>
      </c>
      <c r="J1046">
        <v>1</v>
      </c>
      <c r="K1046">
        <v>46</v>
      </c>
    </row>
    <row r="1047" spans="1:11" x14ac:dyDescent="0.35">
      <c r="A1047" t="s">
        <v>1309</v>
      </c>
      <c r="B1047" s="4" t="s">
        <v>1303</v>
      </c>
      <c r="C1047">
        <v>5</v>
      </c>
      <c r="D1047" t="s">
        <v>45</v>
      </c>
      <c r="E1047" s="7">
        <v>-2</v>
      </c>
      <c r="F1047">
        <v>-100</v>
      </c>
      <c r="G1047">
        <v>1</v>
      </c>
      <c r="I1047" t="s">
        <v>46</v>
      </c>
      <c r="J1047">
        <v>1</v>
      </c>
      <c r="K1047">
        <v>12</v>
      </c>
    </row>
    <row r="1048" spans="1:11" x14ac:dyDescent="0.35">
      <c r="A1048" t="s">
        <v>1310</v>
      </c>
      <c r="B1048" s="4" t="s">
        <v>1303</v>
      </c>
      <c r="C1048">
        <v>6</v>
      </c>
      <c r="D1048" t="s">
        <v>45</v>
      </c>
      <c r="E1048" s="7">
        <v>-6</v>
      </c>
      <c r="F1048">
        <v>-300</v>
      </c>
      <c r="G1048">
        <v>1</v>
      </c>
      <c r="I1048" t="s">
        <v>46</v>
      </c>
      <c r="J1048">
        <v>1</v>
      </c>
      <c r="K1048">
        <v>33</v>
      </c>
    </row>
    <row r="1049" spans="1:11" x14ac:dyDescent="0.35">
      <c r="A1049" t="s">
        <v>1311</v>
      </c>
      <c r="B1049" s="4" t="s">
        <v>1303</v>
      </c>
      <c r="C1049">
        <v>12</v>
      </c>
      <c r="D1049" t="s">
        <v>45</v>
      </c>
      <c r="E1049" s="7">
        <v>-6</v>
      </c>
      <c r="F1049">
        <v>-300</v>
      </c>
      <c r="G1049">
        <v>1</v>
      </c>
      <c r="I1049" t="s">
        <v>46</v>
      </c>
      <c r="J1049">
        <v>1</v>
      </c>
      <c r="K1049">
        <v>8</v>
      </c>
    </row>
    <row r="1050" spans="1:11" x14ac:dyDescent="0.35">
      <c r="A1050" t="s">
        <v>1312</v>
      </c>
      <c r="B1050" s="4" t="s">
        <v>1303</v>
      </c>
      <c r="C1050">
        <v>5</v>
      </c>
      <c r="D1050" t="s">
        <v>45</v>
      </c>
      <c r="E1050" s="7">
        <v>-5</v>
      </c>
      <c r="F1050">
        <v>-250</v>
      </c>
      <c r="G1050">
        <v>2</v>
      </c>
      <c r="I1050" t="s">
        <v>46</v>
      </c>
      <c r="J1050">
        <v>1</v>
      </c>
      <c r="K1050">
        <v>7</v>
      </c>
    </row>
    <row r="1051" spans="1:11" x14ac:dyDescent="0.35">
      <c r="A1051" t="s">
        <v>1313</v>
      </c>
      <c r="B1051" s="4" t="s">
        <v>1303</v>
      </c>
      <c r="C1051">
        <v>8</v>
      </c>
      <c r="D1051" t="s">
        <v>45</v>
      </c>
      <c r="E1051" s="7">
        <v>-2</v>
      </c>
      <c r="F1051">
        <v>-100</v>
      </c>
      <c r="G1051">
        <v>2</v>
      </c>
      <c r="I1051" t="s">
        <v>46</v>
      </c>
      <c r="J1051">
        <v>1</v>
      </c>
      <c r="K1051">
        <v>33</v>
      </c>
    </row>
    <row r="1052" spans="1:11" x14ac:dyDescent="0.35">
      <c r="A1052" t="s">
        <v>1314</v>
      </c>
      <c r="B1052" s="4" t="s">
        <v>1303</v>
      </c>
      <c r="C1052">
        <v>1</v>
      </c>
      <c r="D1052" t="s">
        <v>45</v>
      </c>
      <c r="E1052" s="7">
        <v>-2</v>
      </c>
      <c r="F1052">
        <v>-50</v>
      </c>
      <c r="G1052">
        <v>3</v>
      </c>
      <c r="I1052" t="s">
        <v>62</v>
      </c>
      <c r="J1052">
        <v>1</v>
      </c>
      <c r="K1052">
        <v>44</v>
      </c>
    </row>
    <row r="1053" spans="1:11" x14ac:dyDescent="0.35">
      <c r="A1053" t="s">
        <v>1315</v>
      </c>
      <c r="B1053" s="4" t="s">
        <v>1303</v>
      </c>
      <c r="C1053">
        <v>8</v>
      </c>
      <c r="D1053" t="s">
        <v>45</v>
      </c>
      <c r="E1053" s="7">
        <v>-4</v>
      </c>
      <c r="F1053">
        <v>-200</v>
      </c>
      <c r="G1053">
        <v>3</v>
      </c>
      <c r="I1053" t="s">
        <v>46</v>
      </c>
      <c r="J1053">
        <v>1</v>
      </c>
      <c r="K1053">
        <v>29</v>
      </c>
    </row>
    <row r="1054" spans="1:11" x14ac:dyDescent="0.35">
      <c r="A1054" t="s">
        <v>1316</v>
      </c>
      <c r="B1054" s="4" t="s">
        <v>1303</v>
      </c>
      <c r="C1054">
        <v>12</v>
      </c>
      <c r="D1054" t="s">
        <v>45</v>
      </c>
      <c r="E1054" s="7">
        <v>-5</v>
      </c>
      <c r="F1054">
        <v>-250</v>
      </c>
      <c r="G1054">
        <v>3</v>
      </c>
      <c r="I1054" t="s">
        <v>46</v>
      </c>
      <c r="J1054">
        <v>1</v>
      </c>
      <c r="K1054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16"/>
  <sheetViews>
    <sheetView workbookViewId="0">
      <pane ySplit="1" topLeftCell="A1800" activePane="bottomLeft" state="frozen"/>
      <selection pane="bottomLeft" sqref="A1:XFD1"/>
    </sheetView>
  </sheetViews>
  <sheetFormatPr defaultRowHeight="14.5" x14ac:dyDescent="0.35"/>
  <cols>
    <col min="1" max="1" width="11" customWidth="1"/>
    <col min="2" max="2" width="14" style="4" customWidth="1"/>
    <col min="3" max="3" width="13" customWidth="1"/>
    <col min="4" max="4" width="17" style="7" customWidth="1"/>
    <col min="5" max="5" width="14" customWidth="1"/>
    <col min="6" max="6" width="19" customWidth="1"/>
    <col min="7" max="7" width="14" customWidth="1"/>
  </cols>
  <sheetData>
    <row r="1" spans="1:7" x14ac:dyDescent="0.35">
      <c r="A1" s="2" t="s">
        <v>1317</v>
      </c>
      <c r="B1" s="3" t="s">
        <v>33</v>
      </c>
      <c r="C1" s="2" t="s">
        <v>34</v>
      </c>
      <c r="D1" s="6" t="s">
        <v>1318</v>
      </c>
      <c r="E1" s="2" t="s">
        <v>38</v>
      </c>
      <c r="F1" s="2" t="s">
        <v>1319</v>
      </c>
      <c r="G1" s="2" t="s">
        <v>40</v>
      </c>
    </row>
    <row r="2" spans="1:7" x14ac:dyDescent="0.35">
      <c r="A2" t="s">
        <v>1320</v>
      </c>
      <c r="B2" s="4" t="s">
        <v>44</v>
      </c>
      <c r="C2">
        <v>1</v>
      </c>
      <c r="D2" s="7">
        <v>8</v>
      </c>
      <c r="E2">
        <v>1</v>
      </c>
      <c r="F2" t="s">
        <v>1321</v>
      </c>
      <c r="G2" t="s">
        <v>46</v>
      </c>
    </row>
    <row r="3" spans="1:7" x14ac:dyDescent="0.35">
      <c r="A3" t="s">
        <v>1322</v>
      </c>
      <c r="B3" s="4" t="s">
        <v>44</v>
      </c>
      <c r="C3">
        <v>1</v>
      </c>
      <c r="D3" s="7">
        <v>2</v>
      </c>
      <c r="E3">
        <v>2</v>
      </c>
      <c r="F3" t="s">
        <v>1321</v>
      </c>
      <c r="G3" t="s">
        <v>54</v>
      </c>
    </row>
    <row r="4" spans="1:7" x14ac:dyDescent="0.35">
      <c r="A4" t="s">
        <v>1323</v>
      </c>
      <c r="B4" s="4" t="s">
        <v>44</v>
      </c>
      <c r="C4">
        <v>4</v>
      </c>
      <c r="D4" s="7">
        <v>8</v>
      </c>
      <c r="E4">
        <v>1</v>
      </c>
      <c r="F4" t="s">
        <v>1324</v>
      </c>
      <c r="G4" t="s">
        <v>46</v>
      </c>
    </row>
    <row r="5" spans="1:7" x14ac:dyDescent="0.35">
      <c r="A5" t="s">
        <v>1325</v>
      </c>
      <c r="B5" s="4" t="s">
        <v>44</v>
      </c>
      <c r="C5">
        <v>5</v>
      </c>
      <c r="D5" s="7">
        <v>12</v>
      </c>
      <c r="E5">
        <v>1</v>
      </c>
      <c r="F5" t="s">
        <v>1324</v>
      </c>
      <c r="G5" t="s">
        <v>46</v>
      </c>
    </row>
    <row r="6" spans="1:7" x14ac:dyDescent="0.35">
      <c r="A6" t="s">
        <v>1326</v>
      </c>
      <c r="B6" s="4" t="s">
        <v>44</v>
      </c>
      <c r="C6">
        <v>6</v>
      </c>
      <c r="D6" s="7">
        <v>11</v>
      </c>
      <c r="E6">
        <v>1</v>
      </c>
      <c r="F6" t="s">
        <v>1324</v>
      </c>
      <c r="G6" t="s">
        <v>46</v>
      </c>
    </row>
    <row r="7" spans="1:7" x14ac:dyDescent="0.35">
      <c r="A7" t="s">
        <v>1327</v>
      </c>
      <c r="B7" s="4" t="s">
        <v>44</v>
      </c>
      <c r="C7">
        <v>9</v>
      </c>
      <c r="D7" s="7">
        <v>11</v>
      </c>
      <c r="E7">
        <v>1</v>
      </c>
      <c r="F7" t="s">
        <v>1324</v>
      </c>
      <c r="G7" t="s">
        <v>46</v>
      </c>
    </row>
    <row r="8" spans="1:7" x14ac:dyDescent="0.35">
      <c r="A8" t="s">
        <v>1328</v>
      </c>
      <c r="B8" s="4" t="s">
        <v>70</v>
      </c>
      <c r="C8">
        <v>1</v>
      </c>
      <c r="D8" s="7">
        <v>6</v>
      </c>
      <c r="E8">
        <v>1</v>
      </c>
      <c r="F8" t="s">
        <v>1321</v>
      </c>
      <c r="G8" t="s">
        <v>46</v>
      </c>
    </row>
    <row r="9" spans="1:7" x14ac:dyDescent="0.35">
      <c r="A9" t="s">
        <v>1329</v>
      </c>
      <c r="B9" s="4" t="s">
        <v>70</v>
      </c>
      <c r="C9">
        <v>1</v>
      </c>
      <c r="D9" s="7">
        <v>4</v>
      </c>
      <c r="E9">
        <v>2</v>
      </c>
      <c r="F9" t="s">
        <v>1321</v>
      </c>
      <c r="G9" t="s">
        <v>54</v>
      </c>
    </row>
    <row r="10" spans="1:7" x14ac:dyDescent="0.35">
      <c r="A10" t="s">
        <v>1330</v>
      </c>
      <c r="B10" s="4" t="s">
        <v>70</v>
      </c>
      <c r="C10">
        <v>4</v>
      </c>
      <c r="D10" s="7">
        <v>9</v>
      </c>
      <c r="E10">
        <v>1</v>
      </c>
      <c r="F10" t="s">
        <v>1324</v>
      </c>
      <c r="G10" t="s">
        <v>46</v>
      </c>
    </row>
    <row r="11" spans="1:7" x14ac:dyDescent="0.35">
      <c r="A11" t="s">
        <v>1331</v>
      </c>
      <c r="B11" s="4" t="s">
        <v>70</v>
      </c>
      <c r="C11">
        <v>5</v>
      </c>
      <c r="D11" s="7">
        <v>9</v>
      </c>
      <c r="E11">
        <v>1</v>
      </c>
      <c r="F11" t="s">
        <v>1324</v>
      </c>
      <c r="G11" t="s">
        <v>46</v>
      </c>
    </row>
    <row r="12" spans="1:7" x14ac:dyDescent="0.35">
      <c r="A12" t="s">
        <v>1332</v>
      </c>
      <c r="B12" s="4" t="s">
        <v>70</v>
      </c>
      <c r="C12">
        <v>6</v>
      </c>
      <c r="D12" s="7">
        <v>14</v>
      </c>
      <c r="E12">
        <v>1</v>
      </c>
      <c r="F12" t="s">
        <v>1324</v>
      </c>
      <c r="G12" t="s">
        <v>46</v>
      </c>
    </row>
    <row r="13" spans="1:7" x14ac:dyDescent="0.35">
      <c r="A13" t="s">
        <v>1333</v>
      </c>
      <c r="B13" s="4" t="s">
        <v>70</v>
      </c>
      <c r="C13">
        <v>9</v>
      </c>
      <c r="D13" s="7">
        <v>8</v>
      </c>
      <c r="E13">
        <v>1</v>
      </c>
      <c r="F13" t="s">
        <v>1324</v>
      </c>
      <c r="G13" t="s">
        <v>46</v>
      </c>
    </row>
    <row r="14" spans="1:7" x14ac:dyDescent="0.35">
      <c r="A14" t="s">
        <v>1334</v>
      </c>
      <c r="B14" s="4" t="s">
        <v>99</v>
      </c>
      <c r="C14">
        <v>1</v>
      </c>
      <c r="D14" s="7">
        <v>6</v>
      </c>
      <c r="E14">
        <v>1</v>
      </c>
      <c r="F14" t="s">
        <v>1321</v>
      </c>
      <c r="G14" t="s">
        <v>46</v>
      </c>
    </row>
    <row r="15" spans="1:7" x14ac:dyDescent="0.35">
      <c r="A15" t="s">
        <v>1335</v>
      </c>
      <c r="B15" s="4" t="s">
        <v>99</v>
      </c>
      <c r="C15">
        <v>1</v>
      </c>
      <c r="D15" s="7">
        <v>2</v>
      </c>
      <c r="E15">
        <v>2</v>
      </c>
      <c r="F15" t="s">
        <v>1321</v>
      </c>
      <c r="G15" t="s">
        <v>54</v>
      </c>
    </row>
    <row r="16" spans="1:7" x14ac:dyDescent="0.35">
      <c r="A16" t="s">
        <v>1336</v>
      </c>
      <c r="B16" s="4" t="s">
        <v>99</v>
      </c>
      <c r="C16">
        <v>4</v>
      </c>
      <c r="D16" s="7">
        <v>11</v>
      </c>
      <c r="E16">
        <v>1</v>
      </c>
      <c r="F16" t="s">
        <v>1324</v>
      </c>
      <c r="G16" t="s">
        <v>46</v>
      </c>
    </row>
    <row r="17" spans="1:7" x14ac:dyDescent="0.35">
      <c r="A17" t="s">
        <v>1337</v>
      </c>
      <c r="B17" s="4" t="s">
        <v>99</v>
      </c>
      <c r="C17">
        <v>5</v>
      </c>
      <c r="D17" s="7">
        <v>11</v>
      </c>
      <c r="E17">
        <v>1</v>
      </c>
      <c r="F17" t="s">
        <v>1324</v>
      </c>
      <c r="G17" t="s">
        <v>46</v>
      </c>
    </row>
    <row r="18" spans="1:7" x14ac:dyDescent="0.35">
      <c r="A18" t="s">
        <v>1338</v>
      </c>
      <c r="B18" s="4" t="s">
        <v>99</v>
      </c>
      <c r="C18">
        <v>6</v>
      </c>
      <c r="D18" s="7">
        <v>8</v>
      </c>
      <c r="E18">
        <v>1</v>
      </c>
      <c r="F18" t="s">
        <v>1324</v>
      </c>
      <c r="G18" t="s">
        <v>46</v>
      </c>
    </row>
    <row r="19" spans="1:7" x14ac:dyDescent="0.35">
      <c r="A19" t="s">
        <v>1339</v>
      </c>
      <c r="B19" s="4" t="s">
        <v>99</v>
      </c>
      <c r="C19">
        <v>9</v>
      </c>
      <c r="D19" s="7">
        <v>11</v>
      </c>
      <c r="E19">
        <v>1</v>
      </c>
      <c r="F19" t="s">
        <v>1324</v>
      </c>
      <c r="G19" t="s">
        <v>46</v>
      </c>
    </row>
    <row r="20" spans="1:7" x14ac:dyDescent="0.35">
      <c r="A20" t="s">
        <v>1340</v>
      </c>
      <c r="B20" s="4" t="s">
        <v>117</v>
      </c>
      <c r="C20">
        <v>1</v>
      </c>
      <c r="D20" s="7">
        <v>8</v>
      </c>
      <c r="E20">
        <v>1</v>
      </c>
      <c r="F20" t="s">
        <v>1321</v>
      </c>
      <c r="G20" t="s">
        <v>46</v>
      </c>
    </row>
    <row r="21" spans="1:7" x14ac:dyDescent="0.35">
      <c r="A21" t="s">
        <v>1341</v>
      </c>
      <c r="B21" s="4" t="s">
        <v>117</v>
      </c>
      <c r="C21">
        <v>1</v>
      </c>
      <c r="D21" s="7">
        <v>4</v>
      </c>
      <c r="E21">
        <v>2</v>
      </c>
      <c r="F21" t="s">
        <v>1321</v>
      </c>
      <c r="G21" t="s">
        <v>54</v>
      </c>
    </row>
    <row r="22" spans="1:7" x14ac:dyDescent="0.35">
      <c r="A22" t="s">
        <v>1342</v>
      </c>
      <c r="B22" s="4" t="s">
        <v>117</v>
      </c>
      <c r="C22">
        <v>4</v>
      </c>
      <c r="D22" s="7">
        <v>14</v>
      </c>
      <c r="E22">
        <v>1</v>
      </c>
      <c r="F22" t="s">
        <v>1324</v>
      </c>
      <c r="G22" t="s">
        <v>46</v>
      </c>
    </row>
    <row r="23" spans="1:7" x14ac:dyDescent="0.35">
      <c r="A23" t="s">
        <v>1343</v>
      </c>
      <c r="B23" s="4" t="s">
        <v>117</v>
      </c>
      <c r="C23">
        <v>5</v>
      </c>
      <c r="D23" s="7">
        <v>11</v>
      </c>
      <c r="E23">
        <v>1</v>
      </c>
      <c r="F23" t="s">
        <v>1324</v>
      </c>
      <c r="G23" t="s">
        <v>46</v>
      </c>
    </row>
    <row r="24" spans="1:7" x14ac:dyDescent="0.35">
      <c r="A24" t="s">
        <v>1344</v>
      </c>
      <c r="B24" s="4" t="s">
        <v>117</v>
      </c>
      <c r="C24">
        <v>6</v>
      </c>
      <c r="D24" s="7">
        <v>15</v>
      </c>
      <c r="E24">
        <v>1</v>
      </c>
      <c r="F24" t="s">
        <v>1324</v>
      </c>
      <c r="G24" t="s">
        <v>46</v>
      </c>
    </row>
    <row r="25" spans="1:7" x14ac:dyDescent="0.35">
      <c r="A25" t="s">
        <v>1345</v>
      </c>
      <c r="B25" s="4" t="s">
        <v>117</v>
      </c>
      <c r="C25">
        <v>9</v>
      </c>
      <c r="D25" s="7">
        <v>12</v>
      </c>
      <c r="E25">
        <v>1</v>
      </c>
      <c r="F25" t="s">
        <v>1324</v>
      </c>
      <c r="G25" t="s">
        <v>46</v>
      </c>
    </row>
    <row r="26" spans="1:7" x14ac:dyDescent="0.35">
      <c r="A26" t="s">
        <v>1346</v>
      </c>
      <c r="B26" s="4" t="s">
        <v>141</v>
      </c>
      <c r="C26">
        <v>1</v>
      </c>
      <c r="D26" s="7">
        <v>6</v>
      </c>
      <c r="E26">
        <v>1</v>
      </c>
      <c r="F26" t="s">
        <v>1321</v>
      </c>
      <c r="G26" t="s">
        <v>46</v>
      </c>
    </row>
    <row r="27" spans="1:7" x14ac:dyDescent="0.35">
      <c r="A27" t="s">
        <v>1347</v>
      </c>
      <c r="B27" s="4" t="s">
        <v>141</v>
      </c>
      <c r="C27">
        <v>1</v>
      </c>
      <c r="D27" s="7">
        <v>2</v>
      </c>
      <c r="E27">
        <v>2</v>
      </c>
      <c r="F27" t="s">
        <v>1321</v>
      </c>
      <c r="G27" t="s">
        <v>54</v>
      </c>
    </row>
    <row r="28" spans="1:7" x14ac:dyDescent="0.35">
      <c r="A28" t="s">
        <v>1348</v>
      </c>
      <c r="B28" s="4" t="s">
        <v>141</v>
      </c>
      <c r="C28">
        <v>4</v>
      </c>
      <c r="D28" s="7">
        <v>14</v>
      </c>
      <c r="E28">
        <v>1</v>
      </c>
      <c r="F28" t="s">
        <v>1324</v>
      </c>
      <c r="G28" t="s">
        <v>46</v>
      </c>
    </row>
    <row r="29" spans="1:7" x14ac:dyDescent="0.35">
      <c r="A29" t="s">
        <v>1349</v>
      </c>
      <c r="B29" s="4" t="s">
        <v>141</v>
      </c>
      <c r="C29">
        <v>5</v>
      </c>
      <c r="D29" s="7">
        <v>13</v>
      </c>
      <c r="E29">
        <v>1</v>
      </c>
      <c r="F29" t="s">
        <v>1324</v>
      </c>
      <c r="G29" t="s">
        <v>46</v>
      </c>
    </row>
    <row r="30" spans="1:7" x14ac:dyDescent="0.35">
      <c r="A30" t="s">
        <v>1350</v>
      </c>
      <c r="B30" s="4" t="s">
        <v>141</v>
      </c>
      <c r="C30">
        <v>6</v>
      </c>
      <c r="D30" s="7">
        <v>12</v>
      </c>
      <c r="E30">
        <v>1</v>
      </c>
      <c r="F30" t="s">
        <v>1324</v>
      </c>
      <c r="G30" t="s">
        <v>46</v>
      </c>
    </row>
    <row r="31" spans="1:7" x14ac:dyDescent="0.35">
      <c r="A31" t="s">
        <v>1351</v>
      </c>
      <c r="B31" s="4" t="s">
        <v>141</v>
      </c>
      <c r="C31">
        <v>9</v>
      </c>
      <c r="D31" s="7">
        <v>10</v>
      </c>
      <c r="E31">
        <v>1</v>
      </c>
      <c r="F31" t="s">
        <v>1324</v>
      </c>
      <c r="G31" t="s">
        <v>46</v>
      </c>
    </row>
    <row r="32" spans="1:7" x14ac:dyDescent="0.35">
      <c r="A32" t="s">
        <v>1352</v>
      </c>
      <c r="B32" s="4" t="s">
        <v>163</v>
      </c>
      <c r="C32">
        <v>1</v>
      </c>
      <c r="D32" s="7">
        <v>2</v>
      </c>
      <c r="E32">
        <v>1</v>
      </c>
      <c r="F32" t="s">
        <v>1321</v>
      </c>
      <c r="G32" t="s">
        <v>46</v>
      </c>
    </row>
    <row r="33" spans="1:7" x14ac:dyDescent="0.35">
      <c r="A33" t="s">
        <v>1353</v>
      </c>
      <c r="B33" s="4" t="s">
        <v>163</v>
      </c>
      <c r="C33">
        <v>4</v>
      </c>
      <c r="D33" s="7">
        <v>4</v>
      </c>
      <c r="E33">
        <v>1</v>
      </c>
      <c r="F33" t="s">
        <v>1324</v>
      </c>
      <c r="G33" t="s">
        <v>46</v>
      </c>
    </row>
    <row r="34" spans="1:7" x14ac:dyDescent="0.35">
      <c r="A34" t="s">
        <v>1354</v>
      </c>
      <c r="B34" s="4" t="s">
        <v>163</v>
      </c>
      <c r="C34">
        <v>5</v>
      </c>
      <c r="D34" s="7">
        <v>4</v>
      </c>
      <c r="E34">
        <v>1</v>
      </c>
      <c r="F34" t="s">
        <v>1324</v>
      </c>
      <c r="G34" t="s">
        <v>46</v>
      </c>
    </row>
    <row r="35" spans="1:7" x14ac:dyDescent="0.35">
      <c r="A35" t="s">
        <v>1355</v>
      </c>
      <c r="B35" s="4" t="s">
        <v>163</v>
      </c>
      <c r="C35">
        <v>6</v>
      </c>
      <c r="D35" s="7">
        <v>7</v>
      </c>
      <c r="E35">
        <v>1</v>
      </c>
      <c r="F35" t="s">
        <v>1324</v>
      </c>
      <c r="G35" t="s">
        <v>46</v>
      </c>
    </row>
    <row r="36" spans="1:7" x14ac:dyDescent="0.35">
      <c r="A36" t="s">
        <v>1356</v>
      </c>
      <c r="B36" s="4" t="s">
        <v>163</v>
      </c>
      <c r="C36">
        <v>9</v>
      </c>
      <c r="D36" s="7">
        <v>4</v>
      </c>
      <c r="E36">
        <v>1</v>
      </c>
      <c r="F36" t="s">
        <v>1324</v>
      </c>
      <c r="G36" t="s">
        <v>46</v>
      </c>
    </row>
    <row r="37" spans="1:7" x14ac:dyDescent="0.35">
      <c r="A37" t="s">
        <v>1357</v>
      </c>
      <c r="B37" s="4" t="s">
        <v>183</v>
      </c>
      <c r="C37">
        <v>1</v>
      </c>
      <c r="D37" s="7">
        <v>2</v>
      </c>
      <c r="E37">
        <v>1</v>
      </c>
      <c r="F37" t="s">
        <v>1321</v>
      </c>
      <c r="G37" t="s">
        <v>46</v>
      </c>
    </row>
    <row r="38" spans="1:7" x14ac:dyDescent="0.35">
      <c r="A38" t="s">
        <v>1358</v>
      </c>
      <c r="B38" s="4" t="s">
        <v>183</v>
      </c>
      <c r="C38">
        <v>4</v>
      </c>
      <c r="D38" s="7">
        <v>6</v>
      </c>
      <c r="E38">
        <v>1</v>
      </c>
      <c r="F38" t="s">
        <v>1324</v>
      </c>
      <c r="G38" t="s">
        <v>46</v>
      </c>
    </row>
    <row r="39" spans="1:7" x14ac:dyDescent="0.35">
      <c r="A39" t="s">
        <v>1359</v>
      </c>
      <c r="B39" s="4" t="s">
        <v>183</v>
      </c>
      <c r="C39">
        <v>5</v>
      </c>
      <c r="D39" s="7">
        <v>4</v>
      </c>
      <c r="E39">
        <v>1</v>
      </c>
      <c r="F39" t="s">
        <v>1324</v>
      </c>
      <c r="G39" t="s">
        <v>46</v>
      </c>
    </row>
    <row r="40" spans="1:7" x14ac:dyDescent="0.35">
      <c r="A40" t="s">
        <v>1360</v>
      </c>
      <c r="B40" s="4" t="s">
        <v>183</v>
      </c>
      <c r="C40">
        <v>6</v>
      </c>
      <c r="D40" s="7">
        <v>7</v>
      </c>
      <c r="E40">
        <v>1</v>
      </c>
      <c r="F40" t="s">
        <v>1324</v>
      </c>
      <c r="G40" t="s">
        <v>46</v>
      </c>
    </row>
    <row r="41" spans="1:7" x14ac:dyDescent="0.35">
      <c r="A41" t="s">
        <v>1361</v>
      </c>
      <c r="B41" s="4" t="s">
        <v>183</v>
      </c>
      <c r="C41">
        <v>9</v>
      </c>
      <c r="D41" s="7">
        <v>4</v>
      </c>
      <c r="E41">
        <v>1</v>
      </c>
      <c r="F41" t="s">
        <v>1324</v>
      </c>
      <c r="G41" t="s">
        <v>46</v>
      </c>
    </row>
    <row r="42" spans="1:7" x14ac:dyDescent="0.35">
      <c r="A42" t="s">
        <v>1362</v>
      </c>
      <c r="B42" s="4" t="s">
        <v>200</v>
      </c>
      <c r="C42">
        <v>1</v>
      </c>
      <c r="D42" s="7">
        <v>7</v>
      </c>
      <c r="E42">
        <v>1</v>
      </c>
      <c r="F42" t="s">
        <v>1321</v>
      </c>
      <c r="G42" t="s">
        <v>46</v>
      </c>
    </row>
    <row r="43" spans="1:7" x14ac:dyDescent="0.35">
      <c r="A43" t="s">
        <v>1363</v>
      </c>
      <c r="B43" s="4" t="s">
        <v>200</v>
      </c>
      <c r="C43">
        <v>1</v>
      </c>
      <c r="D43" s="7">
        <v>2</v>
      </c>
      <c r="E43">
        <v>2</v>
      </c>
      <c r="F43" t="s">
        <v>1321</v>
      </c>
      <c r="G43" t="s">
        <v>54</v>
      </c>
    </row>
    <row r="44" spans="1:7" x14ac:dyDescent="0.35">
      <c r="A44" t="s">
        <v>1364</v>
      </c>
      <c r="B44" s="4" t="s">
        <v>200</v>
      </c>
      <c r="C44">
        <v>4</v>
      </c>
      <c r="D44" s="7">
        <v>12</v>
      </c>
      <c r="E44">
        <v>1</v>
      </c>
      <c r="F44" t="s">
        <v>1324</v>
      </c>
      <c r="G44" t="s">
        <v>46</v>
      </c>
    </row>
    <row r="45" spans="1:7" x14ac:dyDescent="0.35">
      <c r="A45" t="s">
        <v>1365</v>
      </c>
      <c r="B45" s="4" t="s">
        <v>200</v>
      </c>
      <c r="C45">
        <v>5</v>
      </c>
      <c r="D45" s="7">
        <v>13</v>
      </c>
      <c r="E45">
        <v>1</v>
      </c>
      <c r="F45" t="s">
        <v>1324</v>
      </c>
      <c r="G45" t="s">
        <v>46</v>
      </c>
    </row>
    <row r="46" spans="1:7" x14ac:dyDescent="0.35">
      <c r="A46" t="s">
        <v>1366</v>
      </c>
      <c r="B46" s="4" t="s">
        <v>200</v>
      </c>
      <c r="C46">
        <v>6</v>
      </c>
      <c r="D46" s="7">
        <v>11</v>
      </c>
      <c r="E46">
        <v>1</v>
      </c>
      <c r="F46" t="s">
        <v>1324</v>
      </c>
      <c r="G46" t="s">
        <v>46</v>
      </c>
    </row>
    <row r="47" spans="1:7" x14ac:dyDescent="0.35">
      <c r="A47" t="s">
        <v>1367</v>
      </c>
      <c r="B47" s="4" t="s">
        <v>200</v>
      </c>
      <c r="C47">
        <v>9</v>
      </c>
      <c r="D47" s="7">
        <v>9</v>
      </c>
      <c r="E47">
        <v>1</v>
      </c>
      <c r="F47" t="s">
        <v>1324</v>
      </c>
      <c r="G47" t="s">
        <v>46</v>
      </c>
    </row>
    <row r="48" spans="1:7" x14ac:dyDescent="0.35">
      <c r="A48" t="s">
        <v>1368</v>
      </c>
      <c r="B48" s="4" t="s">
        <v>220</v>
      </c>
      <c r="C48">
        <v>1</v>
      </c>
      <c r="D48" s="7">
        <v>6</v>
      </c>
      <c r="E48">
        <v>1</v>
      </c>
      <c r="F48" t="s">
        <v>1321</v>
      </c>
      <c r="G48" t="s">
        <v>46</v>
      </c>
    </row>
    <row r="49" spans="1:7" x14ac:dyDescent="0.35">
      <c r="A49" t="s">
        <v>1369</v>
      </c>
      <c r="B49" s="4" t="s">
        <v>220</v>
      </c>
      <c r="C49">
        <v>1</v>
      </c>
      <c r="D49" s="7">
        <v>4</v>
      </c>
      <c r="E49">
        <v>2</v>
      </c>
      <c r="F49" t="s">
        <v>1321</v>
      </c>
      <c r="G49" t="s">
        <v>54</v>
      </c>
    </row>
    <row r="50" spans="1:7" x14ac:dyDescent="0.35">
      <c r="A50" t="s">
        <v>1370</v>
      </c>
      <c r="B50" s="4" t="s">
        <v>220</v>
      </c>
      <c r="C50">
        <v>4</v>
      </c>
      <c r="D50" s="7">
        <v>11</v>
      </c>
      <c r="E50">
        <v>1</v>
      </c>
      <c r="F50" t="s">
        <v>1324</v>
      </c>
      <c r="G50" t="s">
        <v>46</v>
      </c>
    </row>
    <row r="51" spans="1:7" x14ac:dyDescent="0.35">
      <c r="A51" t="s">
        <v>1371</v>
      </c>
      <c r="B51" s="4" t="s">
        <v>220</v>
      </c>
      <c r="C51">
        <v>5</v>
      </c>
      <c r="D51" s="7">
        <v>12</v>
      </c>
      <c r="E51">
        <v>1</v>
      </c>
      <c r="F51" t="s">
        <v>1324</v>
      </c>
      <c r="G51" t="s">
        <v>46</v>
      </c>
    </row>
    <row r="52" spans="1:7" x14ac:dyDescent="0.35">
      <c r="A52" t="s">
        <v>1372</v>
      </c>
      <c r="B52" s="4" t="s">
        <v>220</v>
      </c>
      <c r="C52">
        <v>6</v>
      </c>
      <c r="D52" s="7">
        <v>9</v>
      </c>
      <c r="E52">
        <v>1</v>
      </c>
      <c r="F52" t="s">
        <v>1324</v>
      </c>
      <c r="G52" t="s">
        <v>46</v>
      </c>
    </row>
    <row r="53" spans="1:7" x14ac:dyDescent="0.35">
      <c r="A53" t="s">
        <v>1373</v>
      </c>
      <c r="B53" s="4" t="s">
        <v>220</v>
      </c>
      <c r="C53">
        <v>9</v>
      </c>
      <c r="D53" s="7">
        <v>11</v>
      </c>
      <c r="E53">
        <v>1</v>
      </c>
      <c r="F53" t="s">
        <v>1324</v>
      </c>
      <c r="G53" t="s">
        <v>46</v>
      </c>
    </row>
    <row r="54" spans="1:7" x14ac:dyDescent="0.35">
      <c r="A54" t="s">
        <v>1374</v>
      </c>
      <c r="B54" s="4" t="s">
        <v>237</v>
      </c>
      <c r="C54">
        <v>1</v>
      </c>
      <c r="D54" s="7">
        <v>6</v>
      </c>
      <c r="E54">
        <v>1</v>
      </c>
      <c r="F54" t="s">
        <v>1321</v>
      </c>
      <c r="G54" t="s">
        <v>46</v>
      </c>
    </row>
    <row r="55" spans="1:7" x14ac:dyDescent="0.35">
      <c r="A55" t="s">
        <v>1375</v>
      </c>
      <c r="B55" s="4" t="s">
        <v>237</v>
      </c>
      <c r="C55">
        <v>1</v>
      </c>
      <c r="D55" s="7">
        <v>3</v>
      </c>
      <c r="E55">
        <v>2</v>
      </c>
      <c r="F55" t="s">
        <v>1321</v>
      </c>
      <c r="G55" t="s">
        <v>54</v>
      </c>
    </row>
    <row r="56" spans="1:7" x14ac:dyDescent="0.35">
      <c r="A56" t="s">
        <v>1376</v>
      </c>
      <c r="B56" s="4" t="s">
        <v>237</v>
      </c>
      <c r="C56">
        <v>4</v>
      </c>
      <c r="D56" s="7">
        <v>12</v>
      </c>
      <c r="E56">
        <v>1</v>
      </c>
      <c r="F56" t="s">
        <v>1324</v>
      </c>
      <c r="G56" t="s">
        <v>46</v>
      </c>
    </row>
    <row r="57" spans="1:7" x14ac:dyDescent="0.35">
      <c r="A57" t="s">
        <v>1377</v>
      </c>
      <c r="B57" s="4" t="s">
        <v>237</v>
      </c>
      <c r="C57">
        <v>5</v>
      </c>
      <c r="D57" s="7">
        <v>15</v>
      </c>
      <c r="E57">
        <v>1</v>
      </c>
      <c r="F57" t="s">
        <v>1324</v>
      </c>
      <c r="G57" t="s">
        <v>46</v>
      </c>
    </row>
    <row r="58" spans="1:7" x14ac:dyDescent="0.35">
      <c r="A58" t="s">
        <v>1378</v>
      </c>
      <c r="B58" s="4" t="s">
        <v>237</v>
      </c>
      <c r="C58">
        <v>6</v>
      </c>
      <c r="D58" s="7">
        <v>13</v>
      </c>
      <c r="E58">
        <v>1</v>
      </c>
      <c r="F58" t="s">
        <v>1324</v>
      </c>
      <c r="G58" t="s">
        <v>46</v>
      </c>
    </row>
    <row r="59" spans="1:7" x14ac:dyDescent="0.35">
      <c r="A59" t="s">
        <v>1379</v>
      </c>
      <c r="B59" s="4" t="s">
        <v>237</v>
      </c>
      <c r="C59">
        <v>9</v>
      </c>
      <c r="D59" s="7">
        <v>10</v>
      </c>
      <c r="E59">
        <v>1</v>
      </c>
      <c r="F59" t="s">
        <v>1324</v>
      </c>
      <c r="G59" t="s">
        <v>46</v>
      </c>
    </row>
    <row r="60" spans="1:7" x14ac:dyDescent="0.35">
      <c r="A60" t="s">
        <v>1380</v>
      </c>
      <c r="B60" s="4" t="s">
        <v>244</v>
      </c>
      <c r="C60">
        <v>1</v>
      </c>
      <c r="D60" s="7">
        <v>7</v>
      </c>
      <c r="E60">
        <v>1</v>
      </c>
      <c r="F60" t="s">
        <v>1321</v>
      </c>
      <c r="G60" t="s">
        <v>46</v>
      </c>
    </row>
    <row r="61" spans="1:7" x14ac:dyDescent="0.35">
      <c r="A61" t="s">
        <v>1381</v>
      </c>
      <c r="B61" s="4" t="s">
        <v>244</v>
      </c>
      <c r="C61">
        <v>1</v>
      </c>
      <c r="D61" s="7">
        <v>3</v>
      </c>
      <c r="E61">
        <v>2</v>
      </c>
      <c r="F61" t="s">
        <v>1321</v>
      </c>
      <c r="G61" t="s">
        <v>54</v>
      </c>
    </row>
    <row r="62" spans="1:7" x14ac:dyDescent="0.35">
      <c r="A62" t="s">
        <v>1382</v>
      </c>
      <c r="B62" s="4" t="s">
        <v>244</v>
      </c>
      <c r="C62">
        <v>4</v>
      </c>
      <c r="D62" s="7">
        <v>11</v>
      </c>
      <c r="E62">
        <v>1</v>
      </c>
      <c r="F62" t="s">
        <v>1324</v>
      </c>
      <c r="G62" t="s">
        <v>46</v>
      </c>
    </row>
    <row r="63" spans="1:7" x14ac:dyDescent="0.35">
      <c r="A63" t="s">
        <v>1383</v>
      </c>
      <c r="B63" s="4" t="s">
        <v>244</v>
      </c>
      <c r="C63">
        <v>5</v>
      </c>
      <c r="D63" s="7">
        <v>12</v>
      </c>
      <c r="E63">
        <v>1</v>
      </c>
      <c r="F63" t="s">
        <v>1324</v>
      </c>
      <c r="G63" t="s">
        <v>46</v>
      </c>
    </row>
    <row r="64" spans="1:7" x14ac:dyDescent="0.35">
      <c r="A64" t="s">
        <v>1384</v>
      </c>
      <c r="B64" s="4" t="s">
        <v>244</v>
      </c>
      <c r="C64">
        <v>6</v>
      </c>
      <c r="D64" s="7">
        <v>9</v>
      </c>
      <c r="E64">
        <v>1</v>
      </c>
      <c r="F64" t="s">
        <v>1324</v>
      </c>
      <c r="G64" t="s">
        <v>46</v>
      </c>
    </row>
    <row r="65" spans="1:7" x14ac:dyDescent="0.35">
      <c r="A65" t="s">
        <v>1385</v>
      </c>
      <c r="B65" s="4" t="s">
        <v>244</v>
      </c>
      <c r="C65">
        <v>9</v>
      </c>
      <c r="D65" s="7">
        <v>10</v>
      </c>
      <c r="E65">
        <v>1</v>
      </c>
      <c r="F65" t="s">
        <v>1324</v>
      </c>
      <c r="G65" t="s">
        <v>46</v>
      </c>
    </row>
    <row r="66" spans="1:7" x14ac:dyDescent="0.35">
      <c r="A66" t="s">
        <v>1386</v>
      </c>
      <c r="B66" s="4" t="s">
        <v>247</v>
      </c>
      <c r="C66">
        <v>1</v>
      </c>
      <c r="D66" s="7">
        <v>8</v>
      </c>
      <c r="E66">
        <v>1</v>
      </c>
      <c r="F66" t="s">
        <v>1321</v>
      </c>
      <c r="G66" t="s">
        <v>46</v>
      </c>
    </row>
    <row r="67" spans="1:7" x14ac:dyDescent="0.35">
      <c r="A67" t="s">
        <v>1387</v>
      </c>
      <c r="B67" s="4" t="s">
        <v>247</v>
      </c>
      <c r="C67">
        <v>1</v>
      </c>
      <c r="D67" s="7">
        <v>4</v>
      </c>
      <c r="E67">
        <v>2</v>
      </c>
      <c r="F67" t="s">
        <v>1321</v>
      </c>
      <c r="G67" t="s">
        <v>54</v>
      </c>
    </row>
    <row r="68" spans="1:7" x14ac:dyDescent="0.35">
      <c r="A68" t="s">
        <v>1388</v>
      </c>
      <c r="B68" s="4" t="s">
        <v>247</v>
      </c>
      <c r="C68">
        <v>4</v>
      </c>
      <c r="D68" s="7">
        <v>11</v>
      </c>
      <c r="E68">
        <v>1</v>
      </c>
      <c r="F68" t="s">
        <v>1324</v>
      </c>
      <c r="G68" t="s">
        <v>46</v>
      </c>
    </row>
    <row r="69" spans="1:7" x14ac:dyDescent="0.35">
      <c r="A69" t="s">
        <v>1389</v>
      </c>
      <c r="B69" s="4" t="s">
        <v>247</v>
      </c>
      <c r="C69">
        <v>5</v>
      </c>
      <c r="D69" s="7">
        <v>10</v>
      </c>
      <c r="E69">
        <v>1</v>
      </c>
      <c r="F69" t="s">
        <v>1324</v>
      </c>
      <c r="G69" t="s">
        <v>46</v>
      </c>
    </row>
    <row r="70" spans="1:7" x14ac:dyDescent="0.35">
      <c r="A70" t="s">
        <v>1390</v>
      </c>
      <c r="B70" s="4" t="s">
        <v>247</v>
      </c>
      <c r="C70">
        <v>6</v>
      </c>
      <c r="D70" s="7">
        <v>15</v>
      </c>
      <c r="E70">
        <v>1</v>
      </c>
      <c r="F70" t="s">
        <v>1324</v>
      </c>
      <c r="G70" t="s">
        <v>46</v>
      </c>
    </row>
    <row r="71" spans="1:7" x14ac:dyDescent="0.35">
      <c r="A71" t="s">
        <v>1391</v>
      </c>
      <c r="B71" s="4" t="s">
        <v>247</v>
      </c>
      <c r="C71">
        <v>9</v>
      </c>
      <c r="D71" s="7">
        <v>14</v>
      </c>
      <c r="E71">
        <v>1</v>
      </c>
      <c r="F71" t="s">
        <v>1324</v>
      </c>
      <c r="G71" t="s">
        <v>46</v>
      </c>
    </row>
    <row r="72" spans="1:7" x14ac:dyDescent="0.35">
      <c r="A72" t="s">
        <v>1392</v>
      </c>
      <c r="B72" s="4" t="s">
        <v>249</v>
      </c>
      <c r="C72">
        <v>1</v>
      </c>
      <c r="D72" s="7">
        <v>2</v>
      </c>
      <c r="E72">
        <v>1</v>
      </c>
      <c r="F72" t="s">
        <v>1321</v>
      </c>
      <c r="G72" t="s">
        <v>46</v>
      </c>
    </row>
    <row r="73" spans="1:7" x14ac:dyDescent="0.35">
      <c r="A73" t="s">
        <v>1393</v>
      </c>
      <c r="B73" s="4" t="s">
        <v>249</v>
      </c>
      <c r="C73">
        <v>1</v>
      </c>
      <c r="D73" s="7">
        <v>1</v>
      </c>
      <c r="E73">
        <v>2</v>
      </c>
      <c r="F73" t="s">
        <v>1321</v>
      </c>
      <c r="G73" t="s">
        <v>54</v>
      </c>
    </row>
    <row r="74" spans="1:7" x14ac:dyDescent="0.35">
      <c r="A74" t="s">
        <v>1394</v>
      </c>
      <c r="B74" s="4" t="s">
        <v>249</v>
      </c>
      <c r="C74">
        <v>4</v>
      </c>
      <c r="D74" s="7">
        <v>5</v>
      </c>
      <c r="E74">
        <v>1</v>
      </c>
      <c r="F74" t="s">
        <v>1324</v>
      </c>
      <c r="G74" t="s">
        <v>46</v>
      </c>
    </row>
    <row r="75" spans="1:7" x14ac:dyDescent="0.35">
      <c r="A75" t="s">
        <v>1395</v>
      </c>
      <c r="B75" s="4" t="s">
        <v>249</v>
      </c>
      <c r="C75">
        <v>5</v>
      </c>
      <c r="D75" s="7">
        <v>6</v>
      </c>
      <c r="E75">
        <v>1</v>
      </c>
      <c r="F75" t="s">
        <v>1324</v>
      </c>
      <c r="G75" t="s">
        <v>46</v>
      </c>
    </row>
    <row r="76" spans="1:7" x14ac:dyDescent="0.35">
      <c r="A76" t="s">
        <v>1396</v>
      </c>
      <c r="B76" s="4" t="s">
        <v>249</v>
      </c>
      <c r="C76">
        <v>6</v>
      </c>
      <c r="D76" s="7">
        <v>4</v>
      </c>
      <c r="E76">
        <v>1</v>
      </c>
      <c r="F76" t="s">
        <v>1324</v>
      </c>
      <c r="G76" t="s">
        <v>46</v>
      </c>
    </row>
    <row r="77" spans="1:7" x14ac:dyDescent="0.35">
      <c r="A77" t="s">
        <v>1397</v>
      </c>
      <c r="B77" s="4" t="s">
        <v>249</v>
      </c>
      <c r="C77">
        <v>9</v>
      </c>
      <c r="D77" s="7">
        <v>5</v>
      </c>
      <c r="E77">
        <v>1</v>
      </c>
      <c r="F77" t="s">
        <v>1324</v>
      </c>
      <c r="G77" t="s">
        <v>46</v>
      </c>
    </row>
    <row r="78" spans="1:7" x14ac:dyDescent="0.35">
      <c r="A78" t="s">
        <v>1398</v>
      </c>
      <c r="B78" s="4" t="s">
        <v>251</v>
      </c>
      <c r="C78">
        <v>1</v>
      </c>
      <c r="D78" s="7">
        <v>2</v>
      </c>
      <c r="E78">
        <v>1</v>
      </c>
      <c r="F78" t="s">
        <v>1321</v>
      </c>
      <c r="G78" t="s">
        <v>46</v>
      </c>
    </row>
    <row r="79" spans="1:7" x14ac:dyDescent="0.35">
      <c r="A79" t="s">
        <v>1399</v>
      </c>
      <c r="B79" s="4" t="s">
        <v>251</v>
      </c>
      <c r="C79">
        <v>4</v>
      </c>
      <c r="D79" s="7">
        <v>7</v>
      </c>
      <c r="E79">
        <v>1</v>
      </c>
      <c r="F79" t="s">
        <v>1324</v>
      </c>
      <c r="G79" t="s">
        <v>46</v>
      </c>
    </row>
    <row r="80" spans="1:7" x14ac:dyDescent="0.35">
      <c r="A80" t="s">
        <v>1400</v>
      </c>
      <c r="B80" s="4" t="s">
        <v>251</v>
      </c>
      <c r="C80">
        <v>5</v>
      </c>
      <c r="D80" s="7">
        <v>6</v>
      </c>
      <c r="E80">
        <v>1</v>
      </c>
      <c r="F80" t="s">
        <v>1324</v>
      </c>
      <c r="G80" t="s">
        <v>46</v>
      </c>
    </row>
    <row r="81" spans="1:7" x14ac:dyDescent="0.35">
      <c r="A81" t="s">
        <v>1401</v>
      </c>
      <c r="B81" s="4" t="s">
        <v>251</v>
      </c>
      <c r="C81">
        <v>6</v>
      </c>
      <c r="D81" s="7">
        <v>4</v>
      </c>
      <c r="E81">
        <v>1</v>
      </c>
      <c r="F81" t="s">
        <v>1324</v>
      </c>
      <c r="G81" t="s">
        <v>46</v>
      </c>
    </row>
    <row r="82" spans="1:7" x14ac:dyDescent="0.35">
      <c r="A82" t="s">
        <v>1402</v>
      </c>
      <c r="B82" s="4" t="s">
        <v>251</v>
      </c>
      <c r="C82">
        <v>9</v>
      </c>
      <c r="D82" s="7">
        <v>5</v>
      </c>
      <c r="E82">
        <v>1</v>
      </c>
      <c r="F82" t="s">
        <v>1324</v>
      </c>
      <c r="G82" t="s">
        <v>46</v>
      </c>
    </row>
    <row r="83" spans="1:7" x14ac:dyDescent="0.35">
      <c r="A83" t="s">
        <v>1403</v>
      </c>
      <c r="B83" s="4" t="s">
        <v>255</v>
      </c>
      <c r="C83">
        <v>1</v>
      </c>
      <c r="D83" s="7">
        <v>8</v>
      </c>
      <c r="E83">
        <v>1</v>
      </c>
      <c r="F83" t="s">
        <v>1321</v>
      </c>
      <c r="G83" t="s">
        <v>46</v>
      </c>
    </row>
    <row r="84" spans="1:7" x14ac:dyDescent="0.35">
      <c r="A84" t="s">
        <v>1404</v>
      </c>
      <c r="B84" s="4" t="s">
        <v>255</v>
      </c>
      <c r="C84">
        <v>1</v>
      </c>
      <c r="D84" s="7">
        <v>4</v>
      </c>
      <c r="E84">
        <v>2</v>
      </c>
      <c r="F84" t="s">
        <v>1321</v>
      </c>
      <c r="G84" t="s">
        <v>54</v>
      </c>
    </row>
    <row r="85" spans="1:7" x14ac:dyDescent="0.35">
      <c r="A85" t="s">
        <v>1405</v>
      </c>
      <c r="B85" s="4" t="s">
        <v>255</v>
      </c>
      <c r="C85">
        <v>4</v>
      </c>
      <c r="D85" s="7">
        <v>13</v>
      </c>
      <c r="E85">
        <v>1</v>
      </c>
      <c r="F85" t="s">
        <v>1324</v>
      </c>
      <c r="G85" t="s">
        <v>46</v>
      </c>
    </row>
    <row r="86" spans="1:7" x14ac:dyDescent="0.35">
      <c r="A86" t="s">
        <v>1406</v>
      </c>
      <c r="B86" s="4" t="s">
        <v>255</v>
      </c>
      <c r="C86">
        <v>5</v>
      </c>
      <c r="D86" s="7">
        <v>11</v>
      </c>
      <c r="E86">
        <v>1</v>
      </c>
      <c r="F86" t="s">
        <v>1324</v>
      </c>
      <c r="G86" t="s">
        <v>46</v>
      </c>
    </row>
    <row r="87" spans="1:7" x14ac:dyDescent="0.35">
      <c r="A87" t="s">
        <v>1407</v>
      </c>
      <c r="B87" s="4" t="s">
        <v>255</v>
      </c>
      <c r="C87">
        <v>6</v>
      </c>
      <c r="D87" s="7">
        <v>15</v>
      </c>
      <c r="E87">
        <v>1</v>
      </c>
      <c r="F87" t="s">
        <v>1324</v>
      </c>
      <c r="G87" t="s">
        <v>46</v>
      </c>
    </row>
    <row r="88" spans="1:7" x14ac:dyDescent="0.35">
      <c r="A88" t="s">
        <v>1408</v>
      </c>
      <c r="B88" s="4" t="s">
        <v>255</v>
      </c>
      <c r="C88">
        <v>9</v>
      </c>
      <c r="D88" s="7">
        <v>14</v>
      </c>
      <c r="E88">
        <v>1</v>
      </c>
      <c r="F88" t="s">
        <v>1324</v>
      </c>
      <c r="G88" t="s">
        <v>46</v>
      </c>
    </row>
    <row r="89" spans="1:7" x14ac:dyDescent="0.35">
      <c r="A89" t="s">
        <v>1409</v>
      </c>
      <c r="B89" s="4" t="s">
        <v>257</v>
      </c>
      <c r="C89">
        <v>1</v>
      </c>
      <c r="D89" s="7">
        <v>8</v>
      </c>
      <c r="E89">
        <v>1</v>
      </c>
      <c r="F89" t="s">
        <v>1321</v>
      </c>
      <c r="G89" t="s">
        <v>46</v>
      </c>
    </row>
    <row r="90" spans="1:7" x14ac:dyDescent="0.35">
      <c r="A90" t="s">
        <v>1410</v>
      </c>
      <c r="B90" s="4" t="s">
        <v>257</v>
      </c>
      <c r="C90">
        <v>1</v>
      </c>
      <c r="D90" s="7">
        <v>3</v>
      </c>
      <c r="E90">
        <v>2</v>
      </c>
      <c r="F90" t="s">
        <v>1321</v>
      </c>
      <c r="G90" t="s">
        <v>54</v>
      </c>
    </row>
    <row r="91" spans="1:7" x14ac:dyDescent="0.35">
      <c r="A91" t="s">
        <v>1411</v>
      </c>
      <c r="B91" s="4" t="s">
        <v>257</v>
      </c>
      <c r="C91">
        <v>4</v>
      </c>
      <c r="D91" s="7">
        <v>10</v>
      </c>
      <c r="E91">
        <v>1</v>
      </c>
      <c r="F91" t="s">
        <v>1324</v>
      </c>
      <c r="G91" t="s">
        <v>46</v>
      </c>
    </row>
    <row r="92" spans="1:7" x14ac:dyDescent="0.35">
      <c r="A92" t="s">
        <v>1412</v>
      </c>
      <c r="B92" s="4" t="s">
        <v>257</v>
      </c>
      <c r="C92">
        <v>5</v>
      </c>
      <c r="D92" s="7">
        <v>12</v>
      </c>
      <c r="E92">
        <v>1</v>
      </c>
      <c r="F92" t="s">
        <v>1324</v>
      </c>
      <c r="G92" t="s">
        <v>46</v>
      </c>
    </row>
    <row r="93" spans="1:7" x14ac:dyDescent="0.35">
      <c r="A93" t="s">
        <v>1413</v>
      </c>
      <c r="B93" s="4" t="s">
        <v>257</v>
      </c>
      <c r="C93">
        <v>6</v>
      </c>
      <c r="D93" s="7">
        <v>10</v>
      </c>
      <c r="E93">
        <v>1</v>
      </c>
      <c r="F93" t="s">
        <v>1324</v>
      </c>
      <c r="G93" t="s">
        <v>46</v>
      </c>
    </row>
    <row r="94" spans="1:7" x14ac:dyDescent="0.35">
      <c r="A94" t="s">
        <v>1414</v>
      </c>
      <c r="B94" s="4" t="s">
        <v>257</v>
      </c>
      <c r="C94">
        <v>9</v>
      </c>
      <c r="D94" s="7">
        <v>11</v>
      </c>
      <c r="E94">
        <v>1</v>
      </c>
      <c r="F94" t="s">
        <v>1324</v>
      </c>
      <c r="G94" t="s">
        <v>46</v>
      </c>
    </row>
    <row r="95" spans="1:7" x14ac:dyDescent="0.35">
      <c r="A95" t="s">
        <v>1415</v>
      </c>
      <c r="B95" s="4" t="s">
        <v>266</v>
      </c>
      <c r="C95">
        <v>1</v>
      </c>
      <c r="D95" s="7">
        <v>8</v>
      </c>
      <c r="E95">
        <v>1</v>
      </c>
      <c r="F95" t="s">
        <v>1321</v>
      </c>
      <c r="G95" t="s">
        <v>46</v>
      </c>
    </row>
    <row r="96" spans="1:7" x14ac:dyDescent="0.35">
      <c r="A96" t="s">
        <v>1416</v>
      </c>
      <c r="B96" s="4" t="s">
        <v>266</v>
      </c>
      <c r="C96">
        <v>1</v>
      </c>
      <c r="D96" s="7">
        <v>4</v>
      </c>
      <c r="E96">
        <v>2</v>
      </c>
      <c r="F96" t="s">
        <v>1321</v>
      </c>
      <c r="G96" t="s">
        <v>54</v>
      </c>
    </row>
    <row r="97" spans="1:7" x14ac:dyDescent="0.35">
      <c r="A97" t="s">
        <v>1417</v>
      </c>
      <c r="B97" s="4" t="s">
        <v>266</v>
      </c>
      <c r="C97">
        <v>4</v>
      </c>
      <c r="D97" s="7">
        <v>12</v>
      </c>
      <c r="E97">
        <v>1</v>
      </c>
      <c r="F97" t="s">
        <v>1324</v>
      </c>
      <c r="G97" t="s">
        <v>46</v>
      </c>
    </row>
    <row r="98" spans="1:7" x14ac:dyDescent="0.35">
      <c r="A98" t="s">
        <v>1418</v>
      </c>
      <c r="B98" s="4" t="s">
        <v>266</v>
      </c>
      <c r="C98">
        <v>5</v>
      </c>
      <c r="D98" s="7">
        <v>14</v>
      </c>
      <c r="E98">
        <v>1</v>
      </c>
      <c r="F98" t="s">
        <v>1324</v>
      </c>
      <c r="G98" t="s">
        <v>46</v>
      </c>
    </row>
    <row r="99" spans="1:7" x14ac:dyDescent="0.35">
      <c r="A99" t="s">
        <v>1419</v>
      </c>
      <c r="B99" s="4" t="s">
        <v>266</v>
      </c>
      <c r="C99">
        <v>6</v>
      </c>
      <c r="D99" s="7">
        <v>14</v>
      </c>
      <c r="E99">
        <v>1</v>
      </c>
      <c r="F99" t="s">
        <v>1324</v>
      </c>
      <c r="G99" t="s">
        <v>46</v>
      </c>
    </row>
    <row r="100" spans="1:7" x14ac:dyDescent="0.35">
      <c r="A100" t="s">
        <v>1420</v>
      </c>
      <c r="B100" s="4" t="s">
        <v>266</v>
      </c>
      <c r="C100">
        <v>9</v>
      </c>
      <c r="D100" s="7">
        <v>13</v>
      </c>
      <c r="E100">
        <v>1</v>
      </c>
      <c r="F100" t="s">
        <v>1324</v>
      </c>
      <c r="G100" t="s">
        <v>46</v>
      </c>
    </row>
    <row r="101" spans="1:7" x14ac:dyDescent="0.35">
      <c r="A101" t="s">
        <v>1421</v>
      </c>
      <c r="B101" s="4" t="s">
        <v>273</v>
      </c>
      <c r="C101">
        <v>1</v>
      </c>
      <c r="D101" s="7">
        <v>6</v>
      </c>
      <c r="E101">
        <v>1</v>
      </c>
      <c r="F101" t="s">
        <v>1321</v>
      </c>
      <c r="G101" t="s">
        <v>46</v>
      </c>
    </row>
    <row r="102" spans="1:7" x14ac:dyDescent="0.35">
      <c r="A102" t="s">
        <v>1422</v>
      </c>
      <c r="B102" s="4" t="s">
        <v>273</v>
      </c>
      <c r="C102">
        <v>1</v>
      </c>
      <c r="D102" s="7">
        <v>2</v>
      </c>
      <c r="E102">
        <v>2</v>
      </c>
      <c r="F102" t="s">
        <v>1321</v>
      </c>
      <c r="G102" t="s">
        <v>54</v>
      </c>
    </row>
    <row r="103" spans="1:7" x14ac:dyDescent="0.35">
      <c r="A103" t="s">
        <v>1423</v>
      </c>
      <c r="B103" s="4" t="s">
        <v>273</v>
      </c>
      <c r="C103">
        <v>4</v>
      </c>
      <c r="D103" s="7">
        <v>15</v>
      </c>
      <c r="E103">
        <v>1</v>
      </c>
      <c r="F103" t="s">
        <v>1324</v>
      </c>
      <c r="G103" t="s">
        <v>46</v>
      </c>
    </row>
    <row r="104" spans="1:7" x14ac:dyDescent="0.35">
      <c r="A104" t="s">
        <v>1424</v>
      </c>
      <c r="B104" s="4" t="s">
        <v>273</v>
      </c>
      <c r="C104">
        <v>5</v>
      </c>
      <c r="D104" s="7">
        <v>9</v>
      </c>
      <c r="E104">
        <v>1</v>
      </c>
      <c r="F104" t="s">
        <v>1324</v>
      </c>
      <c r="G104" t="s">
        <v>46</v>
      </c>
    </row>
    <row r="105" spans="1:7" x14ac:dyDescent="0.35">
      <c r="A105" t="s">
        <v>1425</v>
      </c>
      <c r="B105" s="4" t="s">
        <v>273</v>
      </c>
      <c r="C105">
        <v>6</v>
      </c>
      <c r="D105" s="7">
        <v>8</v>
      </c>
      <c r="E105">
        <v>1</v>
      </c>
      <c r="F105" t="s">
        <v>1324</v>
      </c>
      <c r="G105" t="s">
        <v>46</v>
      </c>
    </row>
    <row r="106" spans="1:7" x14ac:dyDescent="0.35">
      <c r="A106" t="s">
        <v>1426</v>
      </c>
      <c r="B106" s="4" t="s">
        <v>273</v>
      </c>
      <c r="C106">
        <v>9</v>
      </c>
      <c r="D106" s="7">
        <v>9</v>
      </c>
      <c r="E106">
        <v>1</v>
      </c>
      <c r="F106" t="s">
        <v>1324</v>
      </c>
      <c r="G106" t="s">
        <v>46</v>
      </c>
    </row>
    <row r="107" spans="1:7" x14ac:dyDescent="0.35">
      <c r="A107" t="s">
        <v>1427</v>
      </c>
      <c r="B107" s="4" t="s">
        <v>277</v>
      </c>
      <c r="C107">
        <v>1</v>
      </c>
      <c r="D107" s="7">
        <v>6</v>
      </c>
      <c r="E107">
        <v>1</v>
      </c>
      <c r="F107" t="s">
        <v>1321</v>
      </c>
      <c r="G107" t="s">
        <v>46</v>
      </c>
    </row>
    <row r="108" spans="1:7" x14ac:dyDescent="0.35">
      <c r="A108" t="s">
        <v>1428</v>
      </c>
      <c r="B108" s="4" t="s">
        <v>277</v>
      </c>
      <c r="C108">
        <v>1</v>
      </c>
      <c r="D108" s="7">
        <v>4</v>
      </c>
      <c r="E108">
        <v>2</v>
      </c>
      <c r="F108" t="s">
        <v>1321</v>
      </c>
      <c r="G108" t="s">
        <v>54</v>
      </c>
    </row>
    <row r="109" spans="1:7" x14ac:dyDescent="0.35">
      <c r="A109" t="s">
        <v>1429</v>
      </c>
      <c r="B109" s="4" t="s">
        <v>277</v>
      </c>
      <c r="C109">
        <v>4</v>
      </c>
      <c r="D109" s="7">
        <v>10</v>
      </c>
      <c r="E109">
        <v>1</v>
      </c>
      <c r="F109" t="s">
        <v>1324</v>
      </c>
      <c r="G109" t="s">
        <v>46</v>
      </c>
    </row>
    <row r="110" spans="1:7" x14ac:dyDescent="0.35">
      <c r="A110" t="s">
        <v>1430</v>
      </c>
      <c r="B110" s="4" t="s">
        <v>277</v>
      </c>
      <c r="C110">
        <v>5</v>
      </c>
      <c r="D110" s="7">
        <v>14</v>
      </c>
      <c r="E110">
        <v>1</v>
      </c>
      <c r="F110" t="s">
        <v>1324</v>
      </c>
      <c r="G110" t="s">
        <v>46</v>
      </c>
    </row>
    <row r="111" spans="1:7" x14ac:dyDescent="0.35">
      <c r="A111" t="s">
        <v>1431</v>
      </c>
      <c r="B111" s="4" t="s">
        <v>277</v>
      </c>
      <c r="C111">
        <v>6</v>
      </c>
      <c r="D111" s="7">
        <v>9</v>
      </c>
      <c r="E111">
        <v>1</v>
      </c>
      <c r="F111" t="s">
        <v>1324</v>
      </c>
      <c r="G111" t="s">
        <v>46</v>
      </c>
    </row>
    <row r="112" spans="1:7" x14ac:dyDescent="0.35">
      <c r="A112" t="s">
        <v>1432</v>
      </c>
      <c r="B112" s="4" t="s">
        <v>277</v>
      </c>
      <c r="C112">
        <v>9</v>
      </c>
      <c r="D112" s="7">
        <v>14</v>
      </c>
      <c r="E112">
        <v>1</v>
      </c>
      <c r="F112" t="s">
        <v>1324</v>
      </c>
      <c r="G112" t="s">
        <v>46</v>
      </c>
    </row>
    <row r="113" spans="1:7" x14ac:dyDescent="0.35">
      <c r="A113" t="s">
        <v>1433</v>
      </c>
      <c r="B113" s="4" t="s">
        <v>1434</v>
      </c>
      <c r="C113">
        <v>1</v>
      </c>
      <c r="D113" s="7">
        <v>2</v>
      </c>
      <c r="E113">
        <v>1</v>
      </c>
      <c r="F113" t="s">
        <v>1321</v>
      </c>
      <c r="G113" t="s">
        <v>46</v>
      </c>
    </row>
    <row r="114" spans="1:7" x14ac:dyDescent="0.35">
      <c r="A114" t="s">
        <v>1435</v>
      </c>
      <c r="B114" s="4" t="s">
        <v>1434</v>
      </c>
      <c r="C114">
        <v>1</v>
      </c>
      <c r="D114" s="7">
        <v>1</v>
      </c>
      <c r="E114">
        <v>2</v>
      </c>
      <c r="F114" t="s">
        <v>1321</v>
      </c>
      <c r="G114" t="s">
        <v>54</v>
      </c>
    </row>
    <row r="115" spans="1:7" x14ac:dyDescent="0.35">
      <c r="A115" t="s">
        <v>1436</v>
      </c>
      <c r="B115" s="4" t="s">
        <v>1434</v>
      </c>
      <c r="C115">
        <v>4</v>
      </c>
      <c r="D115" s="7">
        <v>7</v>
      </c>
      <c r="E115">
        <v>1</v>
      </c>
      <c r="F115" t="s">
        <v>1324</v>
      </c>
      <c r="G115" t="s">
        <v>46</v>
      </c>
    </row>
    <row r="116" spans="1:7" x14ac:dyDescent="0.35">
      <c r="A116" t="s">
        <v>1437</v>
      </c>
      <c r="B116" s="4" t="s">
        <v>1434</v>
      </c>
      <c r="C116">
        <v>5</v>
      </c>
      <c r="D116" s="7">
        <v>6</v>
      </c>
      <c r="E116">
        <v>1</v>
      </c>
      <c r="F116" t="s">
        <v>1324</v>
      </c>
      <c r="G116" t="s">
        <v>46</v>
      </c>
    </row>
    <row r="117" spans="1:7" x14ac:dyDescent="0.35">
      <c r="A117" t="s">
        <v>1438</v>
      </c>
      <c r="B117" s="4" t="s">
        <v>1434</v>
      </c>
      <c r="C117">
        <v>6</v>
      </c>
      <c r="D117" s="7">
        <v>4</v>
      </c>
      <c r="E117">
        <v>1</v>
      </c>
      <c r="F117" t="s">
        <v>1324</v>
      </c>
      <c r="G117" t="s">
        <v>46</v>
      </c>
    </row>
    <row r="118" spans="1:7" x14ac:dyDescent="0.35">
      <c r="A118" t="s">
        <v>1439</v>
      </c>
      <c r="B118" s="4" t="s">
        <v>1434</v>
      </c>
      <c r="C118">
        <v>9</v>
      </c>
      <c r="D118" s="7">
        <v>4</v>
      </c>
      <c r="E118">
        <v>1</v>
      </c>
      <c r="F118" t="s">
        <v>1324</v>
      </c>
      <c r="G118" t="s">
        <v>46</v>
      </c>
    </row>
    <row r="119" spans="1:7" x14ac:dyDescent="0.35">
      <c r="A119" t="s">
        <v>1440</v>
      </c>
      <c r="B119" s="4" t="s">
        <v>1441</v>
      </c>
      <c r="C119">
        <v>1</v>
      </c>
      <c r="D119" s="7">
        <v>3</v>
      </c>
      <c r="E119">
        <v>1</v>
      </c>
      <c r="F119" t="s">
        <v>1321</v>
      </c>
      <c r="G119" t="s">
        <v>46</v>
      </c>
    </row>
    <row r="120" spans="1:7" x14ac:dyDescent="0.35">
      <c r="A120" t="s">
        <v>1442</v>
      </c>
      <c r="B120" s="4" t="s">
        <v>1441</v>
      </c>
      <c r="C120">
        <v>1</v>
      </c>
      <c r="D120" s="7">
        <v>1</v>
      </c>
      <c r="E120">
        <v>2</v>
      </c>
      <c r="F120" t="s">
        <v>1321</v>
      </c>
      <c r="G120" t="s">
        <v>54</v>
      </c>
    </row>
    <row r="121" spans="1:7" x14ac:dyDescent="0.35">
      <c r="A121" t="s">
        <v>1443</v>
      </c>
      <c r="B121" s="4" t="s">
        <v>1441</v>
      </c>
      <c r="C121">
        <v>4</v>
      </c>
      <c r="D121" s="7">
        <v>6</v>
      </c>
      <c r="E121">
        <v>1</v>
      </c>
      <c r="F121" t="s">
        <v>1324</v>
      </c>
      <c r="G121" t="s">
        <v>46</v>
      </c>
    </row>
    <row r="122" spans="1:7" x14ac:dyDescent="0.35">
      <c r="A122" t="s">
        <v>1444</v>
      </c>
      <c r="B122" s="4" t="s">
        <v>1441</v>
      </c>
      <c r="C122">
        <v>5</v>
      </c>
      <c r="D122" s="7">
        <v>6</v>
      </c>
      <c r="E122">
        <v>1</v>
      </c>
      <c r="F122" t="s">
        <v>1324</v>
      </c>
      <c r="G122" t="s">
        <v>46</v>
      </c>
    </row>
    <row r="123" spans="1:7" x14ac:dyDescent="0.35">
      <c r="A123" t="s">
        <v>1445</v>
      </c>
      <c r="B123" s="4" t="s">
        <v>1441</v>
      </c>
      <c r="C123">
        <v>6</v>
      </c>
      <c r="D123" s="7">
        <v>4</v>
      </c>
      <c r="E123">
        <v>1</v>
      </c>
      <c r="F123" t="s">
        <v>1324</v>
      </c>
      <c r="G123" t="s">
        <v>46</v>
      </c>
    </row>
    <row r="124" spans="1:7" x14ac:dyDescent="0.35">
      <c r="A124" t="s">
        <v>1446</v>
      </c>
      <c r="B124" s="4" t="s">
        <v>1441</v>
      </c>
      <c r="C124">
        <v>9</v>
      </c>
      <c r="D124" s="7">
        <v>6</v>
      </c>
      <c r="E124">
        <v>1</v>
      </c>
      <c r="F124" t="s">
        <v>1324</v>
      </c>
      <c r="G124" t="s">
        <v>46</v>
      </c>
    </row>
    <row r="125" spans="1:7" x14ac:dyDescent="0.35">
      <c r="A125" t="s">
        <v>1447</v>
      </c>
      <c r="B125" s="4" t="s">
        <v>1448</v>
      </c>
      <c r="C125">
        <v>1</v>
      </c>
      <c r="D125" s="7">
        <v>7</v>
      </c>
      <c r="E125">
        <v>1</v>
      </c>
      <c r="F125" t="s">
        <v>1321</v>
      </c>
      <c r="G125" t="s">
        <v>46</v>
      </c>
    </row>
    <row r="126" spans="1:7" x14ac:dyDescent="0.35">
      <c r="A126" t="s">
        <v>1449</v>
      </c>
      <c r="B126" s="4" t="s">
        <v>1448</v>
      </c>
      <c r="C126">
        <v>1</v>
      </c>
      <c r="D126" s="7">
        <v>2</v>
      </c>
      <c r="E126">
        <v>2</v>
      </c>
      <c r="F126" t="s">
        <v>1321</v>
      </c>
      <c r="G126" t="s">
        <v>54</v>
      </c>
    </row>
    <row r="127" spans="1:7" x14ac:dyDescent="0.35">
      <c r="A127" t="s">
        <v>1450</v>
      </c>
      <c r="B127" s="4" t="s">
        <v>1448</v>
      </c>
      <c r="C127">
        <v>4</v>
      </c>
      <c r="D127" s="7">
        <v>15</v>
      </c>
      <c r="E127">
        <v>1</v>
      </c>
      <c r="F127" t="s">
        <v>1324</v>
      </c>
      <c r="G127" t="s">
        <v>46</v>
      </c>
    </row>
    <row r="128" spans="1:7" x14ac:dyDescent="0.35">
      <c r="A128" t="s">
        <v>1451</v>
      </c>
      <c r="B128" s="4" t="s">
        <v>1448</v>
      </c>
      <c r="C128">
        <v>5</v>
      </c>
      <c r="D128" s="7">
        <v>8</v>
      </c>
      <c r="E128">
        <v>1</v>
      </c>
      <c r="F128" t="s">
        <v>1324</v>
      </c>
      <c r="G128" t="s">
        <v>46</v>
      </c>
    </row>
    <row r="129" spans="1:7" x14ac:dyDescent="0.35">
      <c r="A129" t="s">
        <v>1452</v>
      </c>
      <c r="B129" s="4" t="s">
        <v>1448</v>
      </c>
      <c r="C129">
        <v>6</v>
      </c>
      <c r="D129" s="7">
        <v>12</v>
      </c>
      <c r="E129">
        <v>1</v>
      </c>
      <c r="F129" t="s">
        <v>1324</v>
      </c>
      <c r="G129" t="s">
        <v>46</v>
      </c>
    </row>
    <row r="130" spans="1:7" x14ac:dyDescent="0.35">
      <c r="A130" t="s">
        <v>1453</v>
      </c>
      <c r="B130" s="4" t="s">
        <v>1448</v>
      </c>
      <c r="C130">
        <v>9</v>
      </c>
      <c r="D130" s="7">
        <v>10</v>
      </c>
      <c r="E130">
        <v>1</v>
      </c>
      <c r="F130" t="s">
        <v>1324</v>
      </c>
      <c r="G130" t="s">
        <v>46</v>
      </c>
    </row>
    <row r="131" spans="1:7" x14ac:dyDescent="0.35">
      <c r="A131" t="s">
        <v>1454</v>
      </c>
      <c r="B131" s="4" t="s">
        <v>1455</v>
      </c>
      <c r="C131">
        <v>1</v>
      </c>
      <c r="D131" s="7">
        <v>8</v>
      </c>
      <c r="E131">
        <v>1</v>
      </c>
      <c r="F131" t="s">
        <v>1321</v>
      </c>
      <c r="G131" t="s">
        <v>46</v>
      </c>
    </row>
    <row r="132" spans="1:7" x14ac:dyDescent="0.35">
      <c r="A132" t="s">
        <v>1456</v>
      </c>
      <c r="B132" s="4" t="s">
        <v>1455</v>
      </c>
      <c r="C132">
        <v>1</v>
      </c>
      <c r="D132" s="7">
        <v>2</v>
      </c>
      <c r="E132">
        <v>2</v>
      </c>
      <c r="F132" t="s">
        <v>1321</v>
      </c>
      <c r="G132" t="s">
        <v>54</v>
      </c>
    </row>
    <row r="133" spans="1:7" x14ac:dyDescent="0.35">
      <c r="A133" t="s">
        <v>1457</v>
      </c>
      <c r="B133" s="4" t="s">
        <v>1455</v>
      </c>
      <c r="C133">
        <v>4</v>
      </c>
      <c r="D133" s="7">
        <v>12</v>
      </c>
      <c r="E133">
        <v>1</v>
      </c>
      <c r="F133" t="s">
        <v>1324</v>
      </c>
      <c r="G133" t="s">
        <v>46</v>
      </c>
    </row>
    <row r="134" spans="1:7" x14ac:dyDescent="0.35">
      <c r="A134" t="s">
        <v>1458</v>
      </c>
      <c r="B134" s="4" t="s">
        <v>1455</v>
      </c>
      <c r="C134">
        <v>5</v>
      </c>
      <c r="D134" s="7">
        <v>11</v>
      </c>
      <c r="E134">
        <v>1</v>
      </c>
      <c r="F134" t="s">
        <v>1324</v>
      </c>
      <c r="G134" t="s">
        <v>46</v>
      </c>
    </row>
    <row r="135" spans="1:7" x14ac:dyDescent="0.35">
      <c r="A135" t="s">
        <v>1459</v>
      </c>
      <c r="B135" s="4" t="s">
        <v>1455</v>
      </c>
      <c r="C135">
        <v>6</v>
      </c>
      <c r="D135" s="7">
        <v>10</v>
      </c>
      <c r="E135">
        <v>1</v>
      </c>
      <c r="F135" t="s">
        <v>1324</v>
      </c>
      <c r="G135" t="s">
        <v>46</v>
      </c>
    </row>
    <row r="136" spans="1:7" x14ac:dyDescent="0.35">
      <c r="A136" t="s">
        <v>1460</v>
      </c>
      <c r="B136" s="4" t="s">
        <v>1455</v>
      </c>
      <c r="C136">
        <v>9</v>
      </c>
      <c r="D136" s="7">
        <v>13</v>
      </c>
      <c r="E136">
        <v>1</v>
      </c>
      <c r="F136" t="s">
        <v>1324</v>
      </c>
      <c r="G136" t="s">
        <v>46</v>
      </c>
    </row>
    <row r="137" spans="1:7" x14ac:dyDescent="0.35">
      <c r="A137" t="s">
        <v>1461</v>
      </c>
      <c r="B137" s="4" t="s">
        <v>1462</v>
      </c>
      <c r="C137">
        <v>1</v>
      </c>
      <c r="D137" s="7">
        <v>6</v>
      </c>
      <c r="E137">
        <v>1</v>
      </c>
      <c r="F137" t="s">
        <v>1321</v>
      </c>
      <c r="G137" t="s">
        <v>46</v>
      </c>
    </row>
    <row r="138" spans="1:7" x14ac:dyDescent="0.35">
      <c r="A138" t="s">
        <v>1463</v>
      </c>
      <c r="B138" s="4" t="s">
        <v>1462</v>
      </c>
      <c r="C138">
        <v>1</v>
      </c>
      <c r="D138" s="7">
        <v>4</v>
      </c>
      <c r="E138">
        <v>2</v>
      </c>
      <c r="F138" t="s">
        <v>1321</v>
      </c>
      <c r="G138" t="s">
        <v>54</v>
      </c>
    </row>
    <row r="139" spans="1:7" x14ac:dyDescent="0.35">
      <c r="A139" t="s">
        <v>1464</v>
      </c>
      <c r="B139" s="4" t="s">
        <v>1462</v>
      </c>
      <c r="C139">
        <v>4</v>
      </c>
      <c r="D139" s="7">
        <v>8</v>
      </c>
      <c r="E139">
        <v>1</v>
      </c>
      <c r="F139" t="s">
        <v>1324</v>
      </c>
      <c r="G139" t="s">
        <v>46</v>
      </c>
    </row>
    <row r="140" spans="1:7" x14ac:dyDescent="0.35">
      <c r="A140" t="s">
        <v>1465</v>
      </c>
      <c r="B140" s="4" t="s">
        <v>1462</v>
      </c>
      <c r="C140">
        <v>5</v>
      </c>
      <c r="D140" s="7">
        <v>13</v>
      </c>
      <c r="E140">
        <v>1</v>
      </c>
      <c r="F140" t="s">
        <v>1324</v>
      </c>
      <c r="G140" t="s">
        <v>46</v>
      </c>
    </row>
    <row r="141" spans="1:7" x14ac:dyDescent="0.35">
      <c r="A141" t="s">
        <v>1466</v>
      </c>
      <c r="B141" s="4" t="s">
        <v>1462</v>
      </c>
      <c r="C141">
        <v>6</v>
      </c>
      <c r="D141" s="7">
        <v>15</v>
      </c>
      <c r="E141">
        <v>1</v>
      </c>
      <c r="F141" t="s">
        <v>1324</v>
      </c>
      <c r="G141" t="s">
        <v>46</v>
      </c>
    </row>
    <row r="142" spans="1:7" x14ac:dyDescent="0.35">
      <c r="A142" t="s">
        <v>1467</v>
      </c>
      <c r="B142" s="4" t="s">
        <v>1462</v>
      </c>
      <c r="C142">
        <v>9</v>
      </c>
      <c r="D142" s="7">
        <v>8</v>
      </c>
      <c r="E142">
        <v>1</v>
      </c>
      <c r="F142" t="s">
        <v>1324</v>
      </c>
      <c r="G142" t="s">
        <v>46</v>
      </c>
    </row>
    <row r="143" spans="1:7" x14ac:dyDescent="0.35">
      <c r="A143" t="s">
        <v>1468</v>
      </c>
      <c r="B143" s="4" t="s">
        <v>1469</v>
      </c>
      <c r="C143">
        <v>1</v>
      </c>
      <c r="D143" s="7">
        <v>6</v>
      </c>
      <c r="E143">
        <v>1</v>
      </c>
      <c r="F143" t="s">
        <v>1321</v>
      </c>
      <c r="G143" t="s">
        <v>46</v>
      </c>
    </row>
    <row r="144" spans="1:7" x14ac:dyDescent="0.35">
      <c r="A144" t="s">
        <v>1470</v>
      </c>
      <c r="B144" s="4" t="s">
        <v>1469</v>
      </c>
      <c r="C144">
        <v>1</v>
      </c>
      <c r="D144" s="7">
        <v>3</v>
      </c>
      <c r="E144">
        <v>2</v>
      </c>
      <c r="F144" t="s">
        <v>1321</v>
      </c>
      <c r="G144" t="s">
        <v>54</v>
      </c>
    </row>
    <row r="145" spans="1:7" x14ac:dyDescent="0.35">
      <c r="A145" t="s">
        <v>1471</v>
      </c>
      <c r="B145" s="4" t="s">
        <v>1469</v>
      </c>
      <c r="C145">
        <v>4</v>
      </c>
      <c r="D145" s="7">
        <v>12</v>
      </c>
      <c r="E145">
        <v>1</v>
      </c>
      <c r="F145" t="s">
        <v>1324</v>
      </c>
      <c r="G145" t="s">
        <v>46</v>
      </c>
    </row>
    <row r="146" spans="1:7" x14ac:dyDescent="0.35">
      <c r="A146" t="s">
        <v>1472</v>
      </c>
      <c r="B146" s="4" t="s">
        <v>1469</v>
      </c>
      <c r="C146">
        <v>5</v>
      </c>
      <c r="D146" s="7">
        <v>11</v>
      </c>
      <c r="E146">
        <v>1</v>
      </c>
      <c r="F146" t="s">
        <v>1324</v>
      </c>
      <c r="G146" t="s">
        <v>46</v>
      </c>
    </row>
    <row r="147" spans="1:7" x14ac:dyDescent="0.35">
      <c r="A147" t="s">
        <v>1473</v>
      </c>
      <c r="B147" s="4" t="s">
        <v>1469</v>
      </c>
      <c r="C147">
        <v>6</v>
      </c>
      <c r="D147" s="7">
        <v>8</v>
      </c>
      <c r="E147">
        <v>1</v>
      </c>
      <c r="F147" t="s">
        <v>1324</v>
      </c>
      <c r="G147" t="s">
        <v>46</v>
      </c>
    </row>
    <row r="148" spans="1:7" x14ac:dyDescent="0.35">
      <c r="A148" t="s">
        <v>1474</v>
      </c>
      <c r="B148" s="4" t="s">
        <v>1469</v>
      </c>
      <c r="C148">
        <v>9</v>
      </c>
      <c r="D148" s="7">
        <v>11</v>
      </c>
      <c r="E148">
        <v>1</v>
      </c>
      <c r="F148" t="s">
        <v>1324</v>
      </c>
      <c r="G148" t="s">
        <v>46</v>
      </c>
    </row>
    <row r="149" spans="1:7" x14ac:dyDescent="0.35">
      <c r="A149" t="s">
        <v>1475</v>
      </c>
      <c r="B149" s="4" t="s">
        <v>279</v>
      </c>
      <c r="C149">
        <v>1</v>
      </c>
      <c r="D149" s="7">
        <v>8</v>
      </c>
      <c r="E149">
        <v>1</v>
      </c>
      <c r="F149" t="s">
        <v>1321</v>
      </c>
      <c r="G149" t="s">
        <v>46</v>
      </c>
    </row>
    <row r="150" spans="1:7" x14ac:dyDescent="0.35">
      <c r="A150" t="s">
        <v>1476</v>
      </c>
      <c r="B150" s="4" t="s">
        <v>279</v>
      </c>
      <c r="C150">
        <v>1</v>
      </c>
      <c r="D150" s="7">
        <v>2</v>
      </c>
      <c r="E150">
        <v>2</v>
      </c>
      <c r="F150" t="s">
        <v>1321</v>
      </c>
      <c r="G150" t="s">
        <v>54</v>
      </c>
    </row>
    <row r="151" spans="1:7" x14ac:dyDescent="0.35">
      <c r="A151" t="s">
        <v>1477</v>
      </c>
      <c r="B151" s="4" t="s">
        <v>279</v>
      </c>
      <c r="C151">
        <v>4</v>
      </c>
      <c r="D151" s="7">
        <v>9</v>
      </c>
      <c r="E151">
        <v>1</v>
      </c>
      <c r="F151" t="s">
        <v>1324</v>
      </c>
      <c r="G151" t="s">
        <v>46</v>
      </c>
    </row>
    <row r="152" spans="1:7" x14ac:dyDescent="0.35">
      <c r="A152" t="s">
        <v>1478</v>
      </c>
      <c r="B152" s="4" t="s">
        <v>279</v>
      </c>
      <c r="C152">
        <v>5</v>
      </c>
      <c r="D152" s="7">
        <v>15</v>
      </c>
      <c r="E152">
        <v>1</v>
      </c>
      <c r="F152" t="s">
        <v>1324</v>
      </c>
      <c r="G152" t="s">
        <v>46</v>
      </c>
    </row>
    <row r="153" spans="1:7" x14ac:dyDescent="0.35">
      <c r="A153" t="s">
        <v>1479</v>
      </c>
      <c r="B153" s="4" t="s">
        <v>279</v>
      </c>
      <c r="C153">
        <v>6</v>
      </c>
      <c r="D153" s="7">
        <v>9</v>
      </c>
      <c r="E153">
        <v>1</v>
      </c>
      <c r="F153" t="s">
        <v>1324</v>
      </c>
      <c r="G153" t="s">
        <v>46</v>
      </c>
    </row>
    <row r="154" spans="1:7" x14ac:dyDescent="0.35">
      <c r="A154" t="s">
        <v>1480</v>
      </c>
      <c r="B154" s="4" t="s">
        <v>279</v>
      </c>
      <c r="C154">
        <v>9</v>
      </c>
      <c r="D154" s="7">
        <v>10</v>
      </c>
      <c r="E154">
        <v>1</v>
      </c>
      <c r="F154" t="s">
        <v>1324</v>
      </c>
      <c r="G154" t="s">
        <v>46</v>
      </c>
    </row>
    <row r="155" spans="1:7" x14ac:dyDescent="0.35">
      <c r="A155" t="s">
        <v>1481</v>
      </c>
      <c r="B155" s="4" t="s">
        <v>1482</v>
      </c>
      <c r="C155">
        <v>1</v>
      </c>
      <c r="D155" s="7">
        <v>2</v>
      </c>
      <c r="E155">
        <v>1</v>
      </c>
      <c r="F155" t="s">
        <v>1321</v>
      </c>
      <c r="G155" t="s">
        <v>46</v>
      </c>
    </row>
    <row r="156" spans="1:7" x14ac:dyDescent="0.35">
      <c r="A156" t="s">
        <v>1483</v>
      </c>
      <c r="B156" s="4" t="s">
        <v>1482</v>
      </c>
      <c r="C156">
        <v>1</v>
      </c>
      <c r="D156" s="7">
        <v>1</v>
      </c>
      <c r="E156">
        <v>2</v>
      </c>
      <c r="F156" t="s">
        <v>1321</v>
      </c>
      <c r="G156" t="s">
        <v>54</v>
      </c>
    </row>
    <row r="157" spans="1:7" x14ac:dyDescent="0.35">
      <c r="A157" t="s">
        <v>1484</v>
      </c>
      <c r="B157" s="4" t="s">
        <v>1482</v>
      </c>
      <c r="C157">
        <v>4</v>
      </c>
      <c r="D157" s="7">
        <v>7</v>
      </c>
      <c r="E157">
        <v>1</v>
      </c>
      <c r="F157" t="s">
        <v>1324</v>
      </c>
      <c r="G157" t="s">
        <v>46</v>
      </c>
    </row>
    <row r="158" spans="1:7" x14ac:dyDescent="0.35">
      <c r="A158" t="s">
        <v>1485</v>
      </c>
      <c r="B158" s="4" t="s">
        <v>1482</v>
      </c>
      <c r="C158">
        <v>5</v>
      </c>
      <c r="D158" s="7">
        <v>5</v>
      </c>
      <c r="E158">
        <v>1</v>
      </c>
      <c r="F158" t="s">
        <v>1324</v>
      </c>
      <c r="G158" t="s">
        <v>46</v>
      </c>
    </row>
    <row r="159" spans="1:7" x14ac:dyDescent="0.35">
      <c r="A159" t="s">
        <v>1486</v>
      </c>
      <c r="B159" s="4" t="s">
        <v>1482</v>
      </c>
      <c r="C159">
        <v>6</v>
      </c>
      <c r="D159" s="7">
        <v>6</v>
      </c>
      <c r="E159">
        <v>1</v>
      </c>
      <c r="F159" t="s">
        <v>1324</v>
      </c>
      <c r="G159" t="s">
        <v>46</v>
      </c>
    </row>
    <row r="160" spans="1:7" x14ac:dyDescent="0.35">
      <c r="A160" t="s">
        <v>1487</v>
      </c>
      <c r="B160" s="4" t="s">
        <v>1482</v>
      </c>
      <c r="C160">
        <v>9</v>
      </c>
      <c r="D160" s="7">
        <v>7</v>
      </c>
      <c r="E160">
        <v>1</v>
      </c>
      <c r="F160" t="s">
        <v>1324</v>
      </c>
      <c r="G160" t="s">
        <v>46</v>
      </c>
    </row>
    <row r="161" spans="1:7" x14ac:dyDescent="0.35">
      <c r="A161" t="s">
        <v>1488</v>
      </c>
      <c r="B161" s="4" t="s">
        <v>1489</v>
      </c>
      <c r="C161">
        <v>1</v>
      </c>
      <c r="D161" s="7">
        <v>2</v>
      </c>
      <c r="E161">
        <v>1</v>
      </c>
      <c r="F161" t="s">
        <v>1321</v>
      </c>
      <c r="G161" t="s">
        <v>46</v>
      </c>
    </row>
    <row r="162" spans="1:7" x14ac:dyDescent="0.35">
      <c r="A162" t="s">
        <v>1490</v>
      </c>
      <c r="B162" s="4" t="s">
        <v>1489</v>
      </c>
      <c r="C162">
        <v>1</v>
      </c>
      <c r="D162" s="7">
        <v>1</v>
      </c>
      <c r="E162">
        <v>2</v>
      </c>
      <c r="F162" t="s">
        <v>1321</v>
      </c>
      <c r="G162" t="s">
        <v>54</v>
      </c>
    </row>
    <row r="163" spans="1:7" x14ac:dyDescent="0.35">
      <c r="A163" t="s">
        <v>1491</v>
      </c>
      <c r="B163" s="4" t="s">
        <v>1489</v>
      </c>
      <c r="C163">
        <v>4</v>
      </c>
      <c r="D163" s="7">
        <v>5</v>
      </c>
      <c r="E163">
        <v>1</v>
      </c>
      <c r="F163" t="s">
        <v>1324</v>
      </c>
      <c r="G163" t="s">
        <v>46</v>
      </c>
    </row>
    <row r="164" spans="1:7" x14ac:dyDescent="0.35">
      <c r="A164" t="s">
        <v>1492</v>
      </c>
      <c r="B164" s="4" t="s">
        <v>1489</v>
      </c>
      <c r="C164">
        <v>5</v>
      </c>
      <c r="D164" s="7">
        <v>6</v>
      </c>
      <c r="E164">
        <v>1</v>
      </c>
      <c r="F164" t="s">
        <v>1324</v>
      </c>
      <c r="G164" t="s">
        <v>46</v>
      </c>
    </row>
    <row r="165" spans="1:7" x14ac:dyDescent="0.35">
      <c r="A165" t="s">
        <v>1493</v>
      </c>
      <c r="B165" s="4" t="s">
        <v>1489</v>
      </c>
      <c r="C165">
        <v>6</v>
      </c>
      <c r="D165" s="7">
        <v>7</v>
      </c>
      <c r="E165">
        <v>1</v>
      </c>
      <c r="F165" t="s">
        <v>1324</v>
      </c>
      <c r="G165" t="s">
        <v>46</v>
      </c>
    </row>
    <row r="166" spans="1:7" x14ac:dyDescent="0.35">
      <c r="A166" t="s">
        <v>1494</v>
      </c>
      <c r="B166" s="4" t="s">
        <v>1489</v>
      </c>
      <c r="C166">
        <v>9</v>
      </c>
      <c r="D166" s="7">
        <v>6</v>
      </c>
      <c r="E166">
        <v>1</v>
      </c>
      <c r="F166" t="s">
        <v>1324</v>
      </c>
      <c r="G166" t="s">
        <v>46</v>
      </c>
    </row>
    <row r="167" spans="1:7" x14ac:dyDescent="0.35">
      <c r="A167" t="s">
        <v>1495</v>
      </c>
      <c r="B167" s="4" t="s">
        <v>1496</v>
      </c>
      <c r="C167">
        <v>1</v>
      </c>
      <c r="D167" s="7">
        <v>7</v>
      </c>
      <c r="E167">
        <v>1</v>
      </c>
      <c r="F167" t="s">
        <v>1321</v>
      </c>
      <c r="G167" t="s">
        <v>46</v>
      </c>
    </row>
    <row r="168" spans="1:7" x14ac:dyDescent="0.35">
      <c r="A168" t="s">
        <v>1497</v>
      </c>
      <c r="B168" s="4" t="s">
        <v>1496</v>
      </c>
      <c r="C168">
        <v>1</v>
      </c>
      <c r="D168" s="7">
        <v>4</v>
      </c>
      <c r="E168">
        <v>2</v>
      </c>
      <c r="F168" t="s">
        <v>1321</v>
      </c>
      <c r="G168" t="s">
        <v>54</v>
      </c>
    </row>
    <row r="169" spans="1:7" x14ac:dyDescent="0.35">
      <c r="A169" t="s">
        <v>1498</v>
      </c>
      <c r="B169" s="4" t="s">
        <v>1496</v>
      </c>
      <c r="C169">
        <v>4</v>
      </c>
      <c r="D169" s="7">
        <v>15</v>
      </c>
      <c r="E169">
        <v>1</v>
      </c>
      <c r="F169" t="s">
        <v>1324</v>
      </c>
      <c r="G169" t="s">
        <v>46</v>
      </c>
    </row>
    <row r="170" spans="1:7" x14ac:dyDescent="0.35">
      <c r="A170" t="s">
        <v>1499</v>
      </c>
      <c r="B170" s="4" t="s">
        <v>1496</v>
      </c>
      <c r="C170">
        <v>5</v>
      </c>
      <c r="D170" s="7">
        <v>9</v>
      </c>
      <c r="E170">
        <v>1</v>
      </c>
      <c r="F170" t="s">
        <v>1324</v>
      </c>
      <c r="G170" t="s">
        <v>46</v>
      </c>
    </row>
    <row r="171" spans="1:7" x14ac:dyDescent="0.35">
      <c r="A171" t="s">
        <v>1500</v>
      </c>
      <c r="B171" s="4" t="s">
        <v>1496</v>
      </c>
      <c r="C171">
        <v>6</v>
      </c>
      <c r="D171" s="7">
        <v>11</v>
      </c>
      <c r="E171">
        <v>1</v>
      </c>
      <c r="F171" t="s">
        <v>1324</v>
      </c>
      <c r="G171" t="s">
        <v>46</v>
      </c>
    </row>
    <row r="172" spans="1:7" x14ac:dyDescent="0.35">
      <c r="A172" t="s">
        <v>1501</v>
      </c>
      <c r="B172" s="4" t="s">
        <v>1496</v>
      </c>
      <c r="C172">
        <v>9</v>
      </c>
      <c r="D172" s="7">
        <v>11</v>
      </c>
      <c r="E172">
        <v>1</v>
      </c>
      <c r="F172" t="s">
        <v>1324</v>
      </c>
      <c r="G172" t="s">
        <v>46</v>
      </c>
    </row>
    <row r="173" spans="1:7" x14ac:dyDescent="0.35">
      <c r="A173" t="s">
        <v>1502</v>
      </c>
      <c r="B173" s="4" t="s">
        <v>1503</v>
      </c>
      <c r="C173">
        <v>1</v>
      </c>
      <c r="D173" s="7">
        <v>6</v>
      </c>
      <c r="E173">
        <v>1</v>
      </c>
      <c r="F173" t="s">
        <v>1321</v>
      </c>
      <c r="G173" t="s">
        <v>46</v>
      </c>
    </row>
    <row r="174" spans="1:7" x14ac:dyDescent="0.35">
      <c r="A174" t="s">
        <v>1504</v>
      </c>
      <c r="B174" s="4" t="s">
        <v>1503</v>
      </c>
      <c r="C174">
        <v>1</v>
      </c>
      <c r="D174" s="7">
        <v>3</v>
      </c>
      <c r="E174">
        <v>2</v>
      </c>
      <c r="F174" t="s">
        <v>1321</v>
      </c>
      <c r="G174" t="s">
        <v>54</v>
      </c>
    </row>
    <row r="175" spans="1:7" x14ac:dyDescent="0.35">
      <c r="A175" t="s">
        <v>1505</v>
      </c>
      <c r="B175" s="4" t="s">
        <v>1503</v>
      </c>
      <c r="C175">
        <v>4</v>
      </c>
      <c r="D175" s="7">
        <v>8</v>
      </c>
      <c r="E175">
        <v>1</v>
      </c>
      <c r="F175" t="s">
        <v>1324</v>
      </c>
      <c r="G175" t="s">
        <v>46</v>
      </c>
    </row>
    <row r="176" spans="1:7" x14ac:dyDescent="0.35">
      <c r="A176" t="s">
        <v>1506</v>
      </c>
      <c r="B176" s="4" t="s">
        <v>1503</v>
      </c>
      <c r="C176">
        <v>5</v>
      </c>
      <c r="D176" s="7">
        <v>11</v>
      </c>
      <c r="E176">
        <v>1</v>
      </c>
      <c r="F176" t="s">
        <v>1324</v>
      </c>
      <c r="G176" t="s">
        <v>46</v>
      </c>
    </row>
    <row r="177" spans="1:7" x14ac:dyDescent="0.35">
      <c r="A177" t="s">
        <v>1507</v>
      </c>
      <c r="B177" s="4" t="s">
        <v>1503</v>
      </c>
      <c r="C177">
        <v>6</v>
      </c>
      <c r="D177" s="7">
        <v>11</v>
      </c>
      <c r="E177">
        <v>1</v>
      </c>
      <c r="F177" t="s">
        <v>1324</v>
      </c>
      <c r="G177" t="s">
        <v>46</v>
      </c>
    </row>
    <row r="178" spans="1:7" x14ac:dyDescent="0.35">
      <c r="A178" t="s">
        <v>1508</v>
      </c>
      <c r="B178" s="4" t="s">
        <v>1503</v>
      </c>
      <c r="C178">
        <v>9</v>
      </c>
      <c r="D178" s="7">
        <v>8</v>
      </c>
      <c r="E178">
        <v>1</v>
      </c>
      <c r="F178" t="s">
        <v>1324</v>
      </c>
      <c r="G178" t="s">
        <v>46</v>
      </c>
    </row>
    <row r="179" spans="1:7" x14ac:dyDescent="0.35">
      <c r="A179" t="s">
        <v>1509</v>
      </c>
      <c r="B179" s="4" t="s">
        <v>1510</v>
      </c>
      <c r="C179">
        <v>1</v>
      </c>
      <c r="D179" s="7">
        <v>6</v>
      </c>
      <c r="E179">
        <v>1</v>
      </c>
      <c r="F179" t="s">
        <v>1321</v>
      </c>
      <c r="G179" t="s">
        <v>46</v>
      </c>
    </row>
    <row r="180" spans="1:7" x14ac:dyDescent="0.35">
      <c r="A180" t="s">
        <v>1511</v>
      </c>
      <c r="B180" s="4" t="s">
        <v>1510</v>
      </c>
      <c r="C180">
        <v>1</v>
      </c>
      <c r="D180" s="7">
        <v>4</v>
      </c>
      <c r="E180">
        <v>2</v>
      </c>
      <c r="F180" t="s">
        <v>1321</v>
      </c>
      <c r="G180" t="s">
        <v>54</v>
      </c>
    </row>
    <row r="181" spans="1:7" x14ac:dyDescent="0.35">
      <c r="A181" t="s">
        <v>1512</v>
      </c>
      <c r="B181" s="4" t="s">
        <v>1510</v>
      </c>
      <c r="C181">
        <v>4</v>
      </c>
      <c r="D181" s="7">
        <v>8</v>
      </c>
      <c r="E181">
        <v>1</v>
      </c>
      <c r="F181" t="s">
        <v>1324</v>
      </c>
      <c r="G181" t="s">
        <v>46</v>
      </c>
    </row>
    <row r="182" spans="1:7" x14ac:dyDescent="0.35">
      <c r="A182" t="s">
        <v>1513</v>
      </c>
      <c r="B182" s="4" t="s">
        <v>1510</v>
      </c>
      <c r="C182">
        <v>5</v>
      </c>
      <c r="D182" s="7">
        <v>11</v>
      </c>
      <c r="E182">
        <v>1</v>
      </c>
      <c r="F182" t="s">
        <v>1324</v>
      </c>
      <c r="G182" t="s">
        <v>46</v>
      </c>
    </row>
    <row r="183" spans="1:7" x14ac:dyDescent="0.35">
      <c r="A183" t="s">
        <v>1514</v>
      </c>
      <c r="B183" s="4" t="s">
        <v>1510</v>
      </c>
      <c r="C183">
        <v>6</v>
      </c>
      <c r="D183" s="7">
        <v>9</v>
      </c>
      <c r="E183">
        <v>1</v>
      </c>
      <c r="F183" t="s">
        <v>1324</v>
      </c>
      <c r="G183" t="s">
        <v>46</v>
      </c>
    </row>
    <row r="184" spans="1:7" x14ac:dyDescent="0.35">
      <c r="A184" t="s">
        <v>1515</v>
      </c>
      <c r="B184" s="4" t="s">
        <v>1510</v>
      </c>
      <c r="C184">
        <v>9</v>
      </c>
      <c r="D184" s="7">
        <v>8</v>
      </c>
      <c r="E184">
        <v>1</v>
      </c>
      <c r="F184" t="s">
        <v>1324</v>
      </c>
      <c r="G184" t="s">
        <v>46</v>
      </c>
    </row>
    <row r="185" spans="1:7" x14ac:dyDescent="0.35">
      <c r="A185" t="s">
        <v>1516</v>
      </c>
      <c r="B185" s="4" t="s">
        <v>1517</v>
      </c>
      <c r="C185">
        <v>1</v>
      </c>
      <c r="D185" s="7">
        <v>12</v>
      </c>
      <c r="E185">
        <v>1</v>
      </c>
      <c r="F185" t="s">
        <v>1321</v>
      </c>
      <c r="G185" t="s">
        <v>46</v>
      </c>
    </row>
    <row r="186" spans="1:7" x14ac:dyDescent="0.35">
      <c r="A186" t="s">
        <v>1518</v>
      </c>
      <c r="B186" s="4" t="s">
        <v>1517</v>
      </c>
      <c r="C186">
        <v>1</v>
      </c>
      <c r="D186" s="7">
        <v>4</v>
      </c>
      <c r="E186">
        <v>2</v>
      </c>
      <c r="F186" t="s">
        <v>1321</v>
      </c>
      <c r="G186" t="s">
        <v>54</v>
      </c>
    </row>
    <row r="187" spans="1:7" x14ac:dyDescent="0.35">
      <c r="A187" t="s">
        <v>1519</v>
      </c>
      <c r="B187" s="4" t="s">
        <v>1517</v>
      </c>
      <c r="C187">
        <v>4</v>
      </c>
      <c r="D187" s="7">
        <v>12</v>
      </c>
      <c r="E187">
        <v>1</v>
      </c>
      <c r="F187" t="s">
        <v>1324</v>
      </c>
      <c r="G187" t="s">
        <v>46</v>
      </c>
    </row>
    <row r="188" spans="1:7" x14ac:dyDescent="0.35">
      <c r="A188" t="s">
        <v>1520</v>
      </c>
      <c r="B188" s="4" t="s">
        <v>1517</v>
      </c>
      <c r="C188">
        <v>5</v>
      </c>
      <c r="D188" s="7">
        <v>15</v>
      </c>
      <c r="E188">
        <v>1</v>
      </c>
      <c r="F188" t="s">
        <v>1324</v>
      </c>
      <c r="G188" t="s">
        <v>46</v>
      </c>
    </row>
    <row r="189" spans="1:7" x14ac:dyDescent="0.35">
      <c r="A189" t="s">
        <v>1521</v>
      </c>
      <c r="B189" s="4" t="s">
        <v>1517</v>
      </c>
      <c r="C189">
        <v>6</v>
      </c>
      <c r="D189" s="7">
        <v>11</v>
      </c>
      <c r="E189">
        <v>1</v>
      </c>
      <c r="F189" t="s">
        <v>1324</v>
      </c>
      <c r="G189" t="s">
        <v>46</v>
      </c>
    </row>
    <row r="190" spans="1:7" x14ac:dyDescent="0.35">
      <c r="A190" t="s">
        <v>1522</v>
      </c>
      <c r="B190" s="4" t="s">
        <v>1517</v>
      </c>
      <c r="C190">
        <v>9</v>
      </c>
      <c r="D190" s="7">
        <v>10</v>
      </c>
      <c r="E190">
        <v>1</v>
      </c>
      <c r="F190" t="s">
        <v>1324</v>
      </c>
      <c r="G190" t="s">
        <v>46</v>
      </c>
    </row>
    <row r="191" spans="1:7" x14ac:dyDescent="0.35">
      <c r="A191" t="s">
        <v>1523</v>
      </c>
      <c r="B191" s="4" t="s">
        <v>1524</v>
      </c>
      <c r="C191">
        <v>1</v>
      </c>
      <c r="D191" s="7">
        <v>14</v>
      </c>
      <c r="E191">
        <v>1</v>
      </c>
      <c r="F191" t="s">
        <v>1321</v>
      </c>
      <c r="G191" t="s">
        <v>46</v>
      </c>
    </row>
    <row r="192" spans="1:7" x14ac:dyDescent="0.35">
      <c r="A192" t="s">
        <v>1525</v>
      </c>
      <c r="B192" s="4" t="s">
        <v>1524</v>
      </c>
      <c r="C192">
        <v>1</v>
      </c>
      <c r="D192" s="7">
        <v>7</v>
      </c>
      <c r="E192">
        <v>2</v>
      </c>
      <c r="F192" t="s">
        <v>1321</v>
      </c>
      <c r="G192" t="s">
        <v>54</v>
      </c>
    </row>
    <row r="193" spans="1:7" x14ac:dyDescent="0.35">
      <c r="A193" t="s">
        <v>1526</v>
      </c>
      <c r="B193" s="4" t="s">
        <v>1524</v>
      </c>
      <c r="C193">
        <v>4</v>
      </c>
      <c r="D193" s="7">
        <v>15</v>
      </c>
      <c r="E193">
        <v>1</v>
      </c>
      <c r="F193" t="s">
        <v>1324</v>
      </c>
      <c r="G193" t="s">
        <v>46</v>
      </c>
    </row>
    <row r="194" spans="1:7" x14ac:dyDescent="0.35">
      <c r="A194" t="s">
        <v>1527</v>
      </c>
      <c r="B194" s="4" t="s">
        <v>1524</v>
      </c>
      <c r="C194">
        <v>5</v>
      </c>
      <c r="D194" s="7">
        <v>14</v>
      </c>
      <c r="E194">
        <v>1</v>
      </c>
      <c r="F194" t="s">
        <v>1324</v>
      </c>
      <c r="G194" t="s">
        <v>46</v>
      </c>
    </row>
    <row r="195" spans="1:7" x14ac:dyDescent="0.35">
      <c r="A195" t="s">
        <v>1528</v>
      </c>
      <c r="B195" s="4" t="s">
        <v>1524</v>
      </c>
      <c r="C195">
        <v>6</v>
      </c>
      <c r="D195" s="7">
        <v>11</v>
      </c>
      <c r="E195">
        <v>1</v>
      </c>
      <c r="F195" t="s">
        <v>1324</v>
      </c>
      <c r="G195" t="s">
        <v>46</v>
      </c>
    </row>
    <row r="196" spans="1:7" x14ac:dyDescent="0.35">
      <c r="A196" t="s">
        <v>1529</v>
      </c>
      <c r="B196" s="4" t="s">
        <v>1524</v>
      </c>
      <c r="C196">
        <v>9</v>
      </c>
      <c r="D196" s="7">
        <v>9</v>
      </c>
      <c r="E196">
        <v>1</v>
      </c>
      <c r="F196" t="s">
        <v>1324</v>
      </c>
      <c r="G196" t="s">
        <v>46</v>
      </c>
    </row>
    <row r="197" spans="1:7" x14ac:dyDescent="0.35">
      <c r="A197" t="s">
        <v>1530</v>
      </c>
      <c r="B197" s="4" t="s">
        <v>1531</v>
      </c>
      <c r="C197">
        <v>1</v>
      </c>
      <c r="D197" s="7">
        <v>4</v>
      </c>
      <c r="E197">
        <v>1</v>
      </c>
      <c r="F197" t="s">
        <v>1321</v>
      </c>
      <c r="G197" t="s">
        <v>46</v>
      </c>
    </row>
    <row r="198" spans="1:7" x14ac:dyDescent="0.35">
      <c r="A198" t="s">
        <v>1532</v>
      </c>
      <c r="B198" s="4" t="s">
        <v>1531</v>
      </c>
      <c r="C198">
        <v>1</v>
      </c>
      <c r="D198" s="7">
        <v>2</v>
      </c>
      <c r="E198">
        <v>2</v>
      </c>
      <c r="F198" t="s">
        <v>1321</v>
      </c>
      <c r="G198" t="s">
        <v>54</v>
      </c>
    </row>
    <row r="199" spans="1:7" x14ac:dyDescent="0.35">
      <c r="A199" t="s">
        <v>1533</v>
      </c>
      <c r="B199" s="4" t="s">
        <v>1531</v>
      </c>
      <c r="C199">
        <v>4</v>
      </c>
      <c r="D199" s="7">
        <v>7</v>
      </c>
      <c r="E199">
        <v>1</v>
      </c>
      <c r="F199" t="s">
        <v>1324</v>
      </c>
      <c r="G199" t="s">
        <v>46</v>
      </c>
    </row>
    <row r="200" spans="1:7" x14ac:dyDescent="0.35">
      <c r="A200" t="s">
        <v>1534</v>
      </c>
      <c r="B200" s="4" t="s">
        <v>1531</v>
      </c>
      <c r="C200">
        <v>5</v>
      </c>
      <c r="D200" s="7">
        <v>7</v>
      </c>
      <c r="E200">
        <v>1</v>
      </c>
      <c r="F200" t="s">
        <v>1324</v>
      </c>
      <c r="G200" t="s">
        <v>46</v>
      </c>
    </row>
    <row r="201" spans="1:7" x14ac:dyDescent="0.35">
      <c r="A201" t="s">
        <v>1535</v>
      </c>
      <c r="B201" s="4" t="s">
        <v>1531</v>
      </c>
      <c r="C201">
        <v>6</v>
      </c>
      <c r="D201" s="7">
        <v>7</v>
      </c>
      <c r="E201">
        <v>1</v>
      </c>
      <c r="F201" t="s">
        <v>1324</v>
      </c>
      <c r="G201" t="s">
        <v>46</v>
      </c>
    </row>
    <row r="202" spans="1:7" x14ac:dyDescent="0.35">
      <c r="A202" t="s">
        <v>1536</v>
      </c>
      <c r="B202" s="4" t="s">
        <v>1531</v>
      </c>
      <c r="C202">
        <v>9</v>
      </c>
      <c r="D202" s="7">
        <v>4</v>
      </c>
      <c r="E202">
        <v>1</v>
      </c>
      <c r="F202" t="s">
        <v>1324</v>
      </c>
      <c r="G202" t="s">
        <v>46</v>
      </c>
    </row>
    <row r="203" spans="1:7" x14ac:dyDescent="0.35">
      <c r="A203" t="s">
        <v>1537</v>
      </c>
      <c r="B203" s="4" t="s">
        <v>1538</v>
      </c>
      <c r="C203">
        <v>1</v>
      </c>
      <c r="D203" s="7">
        <v>4</v>
      </c>
      <c r="E203">
        <v>1</v>
      </c>
      <c r="F203" t="s">
        <v>1321</v>
      </c>
      <c r="G203" t="s">
        <v>46</v>
      </c>
    </row>
    <row r="204" spans="1:7" x14ac:dyDescent="0.35">
      <c r="A204" t="s">
        <v>1539</v>
      </c>
      <c r="B204" s="4" t="s">
        <v>1538</v>
      </c>
      <c r="C204">
        <v>1</v>
      </c>
      <c r="D204" s="7">
        <v>1</v>
      </c>
      <c r="E204">
        <v>2</v>
      </c>
      <c r="F204" t="s">
        <v>1321</v>
      </c>
      <c r="G204" t="s">
        <v>54</v>
      </c>
    </row>
    <row r="205" spans="1:7" x14ac:dyDescent="0.35">
      <c r="A205" t="s">
        <v>1540</v>
      </c>
      <c r="B205" s="4" t="s">
        <v>1538</v>
      </c>
      <c r="C205">
        <v>4</v>
      </c>
      <c r="D205" s="7">
        <v>6</v>
      </c>
      <c r="E205">
        <v>1</v>
      </c>
      <c r="F205" t="s">
        <v>1324</v>
      </c>
      <c r="G205" t="s">
        <v>46</v>
      </c>
    </row>
    <row r="206" spans="1:7" x14ac:dyDescent="0.35">
      <c r="A206" t="s">
        <v>1541</v>
      </c>
      <c r="B206" s="4" t="s">
        <v>1538</v>
      </c>
      <c r="C206">
        <v>5</v>
      </c>
      <c r="D206" s="7">
        <v>4</v>
      </c>
      <c r="E206">
        <v>1</v>
      </c>
      <c r="F206" t="s">
        <v>1324</v>
      </c>
      <c r="G206" t="s">
        <v>46</v>
      </c>
    </row>
    <row r="207" spans="1:7" x14ac:dyDescent="0.35">
      <c r="A207" t="s">
        <v>1542</v>
      </c>
      <c r="B207" s="4" t="s">
        <v>1538</v>
      </c>
      <c r="C207">
        <v>6</v>
      </c>
      <c r="D207" s="7">
        <v>5</v>
      </c>
      <c r="E207">
        <v>1</v>
      </c>
      <c r="F207" t="s">
        <v>1324</v>
      </c>
      <c r="G207" t="s">
        <v>46</v>
      </c>
    </row>
    <row r="208" spans="1:7" x14ac:dyDescent="0.35">
      <c r="A208" t="s">
        <v>1543</v>
      </c>
      <c r="B208" s="4" t="s">
        <v>1538</v>
      </c>
      <c r="C208">
        <v>9</v>
      </c>
      <c r="D208" s="7">
        <v>5</v>
      </c>
      <c r="E208">
        <v>1</v>
      </c>
      <c r="F208" t="s">
        <v>1324</v>
      </c>
      <c r="G208" t="s">
        <v>46</v>
      </c>
    </row>
    <row r="209" spans="1:7" x14ac:dyDescent="0.35">
      <c r="A209" t="s">
        <v>1544</v>
      </c>
      <c r="B209" s="4" t="s">
        <v>282</v>
      </c>
      <c r="C209">
        <v>1</v>
      </c>
      <c r="D209" s="7">
        <v>11</v>
      </c>
      <c r="E209">
        <v>1</v>
      </c>
      <c r="F209" t="s">
        <v>1321</v>
      </c>
      <c r="G209" t="s">
        <v>46</v>
      </c>
    </row>
    <row r="210" spans="1:7" x14ac:dyDescent="0.35">
      <c r="A210" t="s">
        <v>1545</v>
      </c>
      <c r="B210" s="4" t="s">
        <v>282</v>
      </c>
      <c r="C210">
        <v>1</v>
      </c>
      <c r="D210" s="7">
        <v>7</v>
      </c>
      <c r="E210">
        <v>2</v>
      </c>
      <c r="F210" t="s">
        <v>1321</v>
      </c>
      <c r="G210" t="s">
        <v>54</v>
      </c>
    </row>
    <row r="211" spans="1:7" x14ac:dyDescent="0.35">
      <c r="A211" t="s">
        <v>1546</v>
      </c>
      <c r="B211" s="4" t="s">
        <v>282</v>
      </c>
      <c r="C211">
        <v>4</v>
      </c>
      <c r="D211" s="7">
        <v>14</v>
      </c>
      <c r="E211">
        <v>1</v>
      </c>
      <c r="F211" t="s">
        <v>1324</v>
      </c>
      <c r="G211" t="s">
        <v>46</v>
      </c>
    </row>
    <row r="212" spans="1:7" x14ac:dyDescent="0.35">
      <c r="A212" t="s">
        <v>1547</v>
      </c>
      <c r="B212" s="4" t="s">
        <v>282</v>
      </c>
      <c r="C212">
        <v>5</v>
      </c>
      <c r="D212" s="7">
        <v>10</v>
      </c>
      <c r="E212">
        <v>1</v>
      </c>
      <c r="F212" t="s">
        <v>1324</v>
      </c>
      <c r="G212" t="s">
        <v>46</v>
      </c>
    </row>
    <row r="213" spans="1:7" x14ac:dyDescent="0.35">
      <c r="A213" t="s">
        <v>1548</v>
      </c>
      <c r="B213" s="4" t="s">
        <v>282</v>
      </c>
      <c r="C213">
        <v>6</v>
      </c>
      <c r="D213" s="7">
        <v>12</v>
      </c>
      <c r="E213">
        <v>1</v>
      </c>
      <c r="F213" t="s">
        <v>1324</v>
      </c>
      <c r="G213" t="s">
        <v>46</v>
      </c>
    </row>
    <row r="214" spans="1:7" x14ac:dyDescent="0.35">
      <c r="A214" t="s">
        <v>1549</v>
      </c>
      <c r="B214" s="4" t="s">
        <v>282</v>
      </c>
      <c r="C214">
        <v>9</v>
      </c>
      <c r="D214" s="7">
        <v>15</v>
      </c>
      <c r="E214">
        <v>1</v>
      </c>
      <c r="F214" t="s">
        <v>1324</v>
      </c>
      <c r="G214" t="s">
        <v>46</v>
      </c>
    </row>
    <row r="215" spans="1:7" x14ac:dyDescent="0.35">
      <c r="A215" t="s">
        <v>1550</v>
      </c>
      <c r="B215" s="4" t="s">
        <v>1551</v>
      </c>
      <c r="C215">
        <v>1</v>
      </c>
      <c r="D215" s="7">
        <v>11</v>
      </c>
      <c r="E215">
        <v>1</v>
      </c>
      <c r="F215" t="s">
        <v>1321</v>
      </c>
      <c r="G215" t="s">
        <v>46</v>
      </c>
    </row>
    <row r="216" spans="1:7" x14ac:dyDescent="0.35">
      <c r="A216" t="s">
        <v>1552</v>
      </c>
      <c r="B216" s="4" t="s">
        <v>1551</v>
      </c>
      <c r="C216">
        <v>1</v>
      </c>
      <c r="D216" s="7">
        <v>4</v>
      </c>
      <c r="E216">
        <v>2</v>
      </c>
      <c r="F216" t="s">
        <v>1321</v>
      </c>
      <c r="G216" t="s">
        <v>54</v>
      </c>
    </row>
    <row r="217" spans="1:7" x14ac:dyDescent="0.35">
      <c r="A217" t="s">
        <v>1553</v>
      </c>
      <c r="B217" s="4" t="s">
        <v>1551</v>
      </c>
      <c r="C217">
        <v>4</v>
      </c>
      <c r="D217" s="7">
        <v>9</v>
      </c>
      <c r="E217">
        <v>1</v>
      </c>
      <c r="F217" t="s">
        <v>1324</v>
      </c>
      <c r="G217" t="s">
        <v>46</v>
      </c>
    </row>
    <row r="218" spans="1:7" x14ac:dyDescent="0.35">
      <c r="A218" t="s">
        <v>1554</v>
      </c>
      <c r="B218" s="4" t="s">
        <v>1551</v>
      </c>
      <c r="C218">
        <v>5</v>
      </c>
      <c r="D218" s="7">
        <v>8</v>
      </c>
      <c r="E218">
        <v>1</v>
      </c>
      <c r="F218" t="s">
        <v>1324</v>
      </c>
      <c r="G218" t="s">
        <v>46</v>
      </c>
    </row>
    <row r="219" spans="1:7" x14ac:dyDescent="0.35">
      <c r="A219" t="s">
        <v>1555</v>
      </c>
      <c r="B219" s="4" t="s">
        <v>1551</v>
      </c>
      <c r="C219">
        <v>6</v>
      </c>
      <c r="D219" s="7">
        <v>8</v>
      </c>
      <c r="E219">
        <v>1</v>
      </c>
      <c r="F219" t="s">
        <v>1324</v>
      </c>
      <c r="G219" t="s">
        <v>46</v>
      </c>
    </row>
    <row r="220" spans="1:7" x14ac:dyDescent="0.35">
      <c r="A220" t="s">
        <v>1556</v>
      </c>
      <c r="B220" s="4" t="s">
        <v>1551</v>
      </c>
      <c r="C220">
        <v>9</v>
      </c>
      <c r="D220" s="7">
        <v>9</v>
      </c>
      <c r="E220">
        <v>1</v>
      </c>
      <c r="F220" t="s">
        <v>1324</v>
      </c>
      <c r="G220" t="s">
        <v>46</v>
      </c>
    </row>
    <row r="221" spans="1:7" x14ac:dyDescent="0.35">
      <c r="A221" t="s">
        <v>1557</v>
      </c>
      <c r="B221" s="4" t="s">
        <v>1558</v>
      </c>
      <c r="C221">
        <v>1</v>
      </c>
      <c r="D221" s="7">
        <v>11</v>
      </c>
      <c r="E221">
        <v>1</v>
      </c>
      <c r="F221" t="s">
        <v>1321</v>
      </c>
      <c r="G221" t="s">
        <v>46</v>
      </c>
    </row>
    <row r="222" spans="1:7" x14ac:dyDescent="0.35">
      <c r="A222" t="s">
        <v>1559</v>
      </c>
      <c r="B222" s="4" t="s">
        <v>1558</v>
      </c>
      <c r="C222">
        <v>1</v>
      </c>
      <c r="D222" s="7">
        <v>5</v>
      </c>
      <c r="E222">
        <v>2</v>
      </c>
      <c r="F222" t="s">
        <v>1321</v>
      </c>
      <c r="G222" t="s">
        <v>54</v>
      </c>
    </row>
    <row r="223" spans="1:7" x14ac:dyDescent="0.35">
      <c r="A223" t="s">
        <v>1560</v>
      </c>
      <c r="B223" s="4" t="s">
        <v>1558</v>
      </c>
      <c r="C223">
        <v>4</v>
      </c>
      <c r="D223" s="7">
        <v>15</v>
      </c>
      <c r="E223">
        <v>1</v>
      </c>
      <c r="F223" t="s">
        <v>1324</v>
      </c>
      <c r="G223" t="s">
        <v>46</v>
      </c>
    </row>
    <row r="224" spans="1:7" x14ac:dyDescent="0.35">
      <c r="A224" t="s">
        <v>1561</v>
      </c>
      <c r="B224" s="4" t="s">
        <v>1558</v>
      </c>
      <c r="C224">
        <v>5</v>
      </c>
      <c r="D224" s="7">
        <v>15</v>
      </c>
      <c r="E224">
        <v>1</v>
      </c>
      <c r="F224" t="s">
        <v>1324</v>
      </c>
      <c r="G224" t="s">
        <v>46</v>
      </c>
    </row>
    <row r="225" spans="1:7" x14ac:dyDescent="0.35">
      <c r="A225" t="s">
        <v>1562</v>
      </c>
      <c r="B225" s="4" t="s">
        <v>1558</v>
      </c>
      <c r="C225">
        <v>6</v>
      </c>
      <c r="D225" s="7">
        <v>11</v>
      </c>
      <c r="E225">
        <v>1</v>
      </c>
      <c r="F225" t="s">
        <v>1324</v>
      </c>
      <c r="G225" t="s">
        <v>46</v>
      </c>
    </row>
    <row r="226" spans="1:7" x14ac:dyDescent="0.35">
      <c r="A226" t="s">
        <v>1563</v>
      </c>
      <c r="B226" s="4" t="s">
        <v>1558</v>
      </c>
      <c r="C226">
        <v>9</v>
      </c>
      <c r="D226" s="7">
        <v>14</v>
      </c>
      <c r="E226">
        <v>1</v>
      </c>
      <c r="F226" t="s">
        <v>1324</v>
      </c>
      <c r="G226" t="s">
        <v>46</v>
      </c>
    </row>
    <row r="227" spans="1:7" x14ac:dyDescent="0.35">
      <c r="A227" t="s">
        <v>1564</v>
      </c>
      <c r="B227" s="4" t="s">
        <v>1565</v>
      </c>
      <c r="C227">
        <v>1</v>
      </c>
      <c r="D227" s="7">
        <v>10</v>
      </c>
      <c r="E227">
        <v>1</v>
      </c>
      <c r="F227" t="s">
        <v>1321</v>
      </c>
      <c r="G227" t="s">
        <v>46</v>
      </c>
    </row>
    <row r="228" spans="1:7" x14ac:dyDescent="0.35">
      <c r="A228" t="s">
        <v>1566</v>
      </c>
      <c r="B228" s="4" t="s">
        <v>1565</v>
      </c>
      <c r="C228">
        <v>1</v>
      </c>
      <c r="D228" s="7">
        <v>5</v>
      </c>
      <c r="E228">
        <v>2</v>
      </c>
      <c r="F228" t="s">
        <v>1321</v>
      </c>
      <c r="G228" t="s">
        <v>54</v>
      </c>
    </row>
    <row r="229" spans="1:7" x14ac:dyDescent="0.35">
      <c r="A229" t="s">
        <v>1567</v>
      </c>
      <c r="B229" s="4" t="s">
        <v>1565</v>
      </c>
      <c r="C229">
        <v>4</v>
      </c>
      <c r="D229" s="7">
        <v>8</v>
      </c>
      <c r="E229">
        <v>1</v>
      </c>
      <c r="F229" t="s">
        <v>1324</v>
      </c>
      <c r="G229" t="s">
        <v>46</v>
      </c>
    </row>
    <row r="230" spans="1:7" x14ac:dyDescent="0.35">
      <c r="A230" t="s">
        <v>1568</v>
      </c>
      <c r="B230" s="4" t="s">
        <v>1565</v>
      </c>
      <c r="C230">
        <v>5</v>
      </c>
      <c r="D230" s="7">
        <v>14</v>
      </c>
      <c r="E230">
        <v>1</v>
      </c>
      <c r="F230" t="s">
        <v>1324</v>
      </c>
      <c r="G230" t="s">
        <v>46</v>
      </c>
    </row>
    <row r="231" spans="1:7" x14ac:dyDescent="0.35">
      <c r="A231" t="s">
        <v>1569</v>
      </c>
      <c r="B231" s="4" t="s">
        <v>1565</v>
      </c>
      <c r="C231">
        <v>6</v>
      </c>
      <c r="D231" s="7">
        <v>12</v>
      </c>
      <c r="E231">
        <v>1</v>
      </c>
      <c r="F231" t="s">
        <v>1324</v>
      </c>
      <c r="G231" t="s">
        <v>46</v>
      </c>
    </row>
    <row r="232" spans="1:7" x14ac:dyDescent="0.35">
      <c r="A232" t="s">
        <v>1570</v>
      </c>
      <c r="B232" s="4" t="s">
        <v>1565</v>
      </c>
      <c r="C232">
        <v>9</v>
      </c>
      <c r="D232" s="7">
        <v>15</v>
      </c>
      <c r="E232">
        <v>1</v>
      </c>
      <c r="F232" t="s">
        <v>1324</v>
      </c>
      <c r="G232" t="s">
        <v>46</v>
      </c>
    </row>
    <row r="233" spans="1:7" x14ac:dyDescent="0.35">
      <c r="A233" t="s">
        <v>1571</v>
      </c>
      <c r="B233" s="4" t="s">
        <v>1572</v>
      </c>
      <c r="C233">
        <v>1</v>
      </c>
      <c r="D233" s="7">
        <v>12</v>
      </c>
      <c r="E233">
        <v>1</v>
      </c>
      <c r="F233" t="s">
        <v>1321</v>
      </c>
      <c r="G233" t="s">
        <v>46</v>
      </c>
    </row>
    <row r="234" spans="1:7" x14ac:dyDescent="0.35">
      <c r="A234" t="s">
        <v>1573</v>
      </c>
      <c r="B234" s="4" t="s">
        <v>1572</v>
      </c>
      <c r="C234">
        <v>1</v>
      </c>
      <c r="D234" s="7">
        <v>7</v>
      </c>
      <c r="E234">
        <v>2</v>
      </c>
      <c r="F234" t="s">
        <v>1321</v>
      </c>
      <c r="G234" t="s">
        <v>54</v>
      </c>
    </row>
    <row r="235" spans="1:7" x14ac:dyDescent="0.35">
      <c r="A235" t="s">
        <v>1574</v>
      </c>
      <c r="B235" s="4" t="s">
        <v>1572</v>
      </c>
      <c r="C235">
        <v>4</v>
      </c>
      <c r="D235" s="7">
        <v>10</v>
      </c>
      <c r="E235">
        <v>1</v>
      </c>
      <c r="F235" t="s">
        <v>1324</v>
      </c>
      <c r="G235" t="s">
        <v>46</v>
      </c>
    </row>
    <row r="236" spans="1:7" x14ac:dyDescent="0.35">
      <c r="A236" t="s">
        <v>1575</v>
      </c>
      <c r="B236" s="4" t="s">
        <v>1572</v>
      </c>
      <c r="C236">
        <v>5</v>
      </c>
      <c r="D236" s="7">
        <v>11</v>
      </c>
      <c r="E236">
        <v>1</v>
      </c>
      <c r="F236" t="s">
        <v>1324</v>
      </c>
      <c r="G236" t="s">
        <v>46</v>
      </c>
    </row>
    <row r="237" spans="1:7" x14ac:dyDescent="0.35">
      <c r="A237" t="s">
        <v>1576</v>
      </c>
      <c r="B237" s="4" t="s">
        <v>1572</v>
      </c>
      <c r="C237">
        <v>6</v>
      </c>
      <c r="D237" s="7">
        <v>12</v>
      </c>
      <c r="E237">
        <v>1</v>
      </c>
      <c r="F237" t="s">
        <v>1324</v>
      </c>
      <c r="G237" t="s">
        <v>46</v>
      </c>
    </row>
    <row r="238" spans="1:7" x14ac:dyDescent="0.35">
      <c r="A238" t="s">
        <v>1577</v>
      </c>
      <c r="B238" s="4" t="s">
        <v>1572</v>
      </c>
      <c r="C238">
        <v>9</v>
      </c>
      <c r="D238" s="7">
        <v>11</v>
      </c>
      <c r="E238">
        <v>1</v>
      </c>
      <c r="F238" t="s">
        <v>1324</v>
      </c>
      <c r="G238" t="s">
        <v>46</v>
      </c>
    </row>
    <row r="239" spans="1:7" x14ac:dyDescent="0.35">
      <c r="A239" t="s">
        <v>1578</v>
      </c>
      <c r="B239" s="4" t="s">
        <v>1579</v>
      </c>
      <c r="C239">
        <v>1</v>
      </c>
      <c r="D239" s="7">
        <v>4</v>
      </c>
      <c r="E239">
        <v>1</v>
      </c>
      <c r="F239" t="s">
        <v>1321</v>
      </c>
      <c r="G239" t="s">
        <v>46</v>
      </c>
    </row>
    <row r="240" spans="1:7" x14ac:dyDescent="0.35">
      <c r="A240" t="s">
        <v>1580</v>
      </c>
      <c r="B240" s="4" t="s">
        <v>1579</v>
      </c>
      <c r="C240">
        <v>1</v>
      </c>
      <c r="D240" s="7">
        <v>1</v>
      </c>
      <c r="E240">
        <v>2</v>
      </c>
      <c r="F240" t="s">
        <v>1321</v>
      </c>
      <c r="G240" t="s">
        <v>54</v>
      </c>
    </row>
    <row r="241" spans="1:7" x14ac:dyDescent="0.35">
      <c r="A241" t="s">
        <v>1581</v>
      </c>
      <c r="B241" s="4" t="s">
        <v>1579</v>
      </c>
      <c r="C241">
        <v>4</v>
      </c>
      <c r="D241" s="7">
        <v>4</v>
      </c>
      <c r="E241">
        <v>1</v>
      </c>
      <c r="F241" t="s">
        <v>1324</v>
      </c>
      <c r="G241" t="s">
        <v>46</v>
      </c>
    </row>
    <row r="242" spans="1:7" x14ac:dyDescent="0.35">
      <c r="A242" t="s">
        <v>1582</v>
      </c>
      <c r="B242" s="4" t="s">
        <v>1579</v>
      </c>
      <c r="C242">
        <v>5</v>
      </c>
      <c r="D242" s="7">
        <v>4</v>
      </c>
      <c r="E242">
        <v>1</v>
      </c>
      <c r="F242" t="s">
        <v>1324</v>
      </c>
      <c r="G242" t="s">
        <v>46</v>
      </c>
    </row>
    <row r="243" spans="1:7" x14ac:dyDescent="0.35">
      <c r="A243" t="s">
        <v>1583</v>
      </c>
      <c r="B243" s="4" t="s">
        <v>1579</v>
      </c>
      <c r="C243">
        <v>6</v>
      </c>
      <c r="D243" s="7">
        <v>7</v>
      </c>
      <c r="E243">
        <v>1</v>
      </c>
      <c r="F243" t="s">
        <v>1324</v>
      </c>
      <c r="G243" t="s">
        <v>46</v>
      </c>
    </row>
    <row r="244" spans="1:7" x14ac:dyDescent="0.35">
      <c r="A244" t="s">
        <v>1584</v>
      </c>
      <c r="B244" s="4" t="s">
        <v>1579</v>
      </c>
      <c r="C244">
        <v>9</v>
      </c>
      <c r="D244" s="7">
        <v>5</v>
      </c>
      <c r="E244">
        <v>1</v>
      </c>
      <c r="F244" t="s">
        <v>1324</v>
      </c>
      <c r="G244" t="s">
        <v>46</v>
      </c>
    </row>
    <row r="245" spans="1:7" x14ac:dyDescent="0.35">
      <c r="A245" t="s">
        <v>1585</v>
      </c>
      <c r="B245" s="4" t="s">
        <v>1586</v>
      </c>
      <c r="C245">
        <v>1</v>
      </c>
      <c r="D245" s="7">
        <v>4</v>
      </c>
      <c r="E245">
        <v>1</v>
      </c>
      <c r="F245" t="s">
        <v>1321</v>
      </c>
      <c r="G245" t="s">
        <v>46</v>
      </c>
    </row>
    <row r="246" spans="1:7" x14ac:dyDescent="0.35">
      <c r="A246" t="s">
        <v>1587</v>
      </c>
      <c r="B246" s="4" t="s">
        <v>1586</v>
      </c>
      <c r="C246">
        <v>1</v>
      </c>
      <c r="D246" s="7">
        <v>1</v>
      </c>
      <c r="E246">
        <v>2</v>
      </c>
      <c r="F246" t="s">
        <v>1321</v>
      </c>
      <c r="G246" t="s">
        <v>54</v>
      </c>
    </row>
    <row r="247" spans="1:7" x14ac:dyDescent="0.35">
      <c r="A247" t="s">
        <v>1588</v>
      </c>
      <c r="B247" s="4" t="s">
        <v>1586</v>
      </c>
      <c r="C247">
        <v>4</v>
      </c>
      <c r="D247" s="7">
        <v>4</v>
      </c>
      <c r="E247">
        <v>1</v>
      </c>
      <c r="F247" t="s">
        <v>1324</v>
      </c>
      <c r="G247" t="s">
        <v>46</v>
      </c>
    </row>
    <row r="248" spans="1:7" x14ac:dyDescent="0.35">
      <c r="A248" t="s">
        <v>1589</v>
      </c>
      <c r="B248" s="4" t="s">
        <v>1586</v>
      </c>
      <c r="C248">
        <v>5</v>
      </c>
      <c r="D248" s="7">
        <v>4</v>
      </c>
      <c r="E248">
        <v>1</v>
      </c>
      <c r="F248" t="s">
        <v>1324</v>
      </c>
      <c r="G248" t="s">
        <v>46</v>
      </c>
    </row>
    <row r="249" spans="1:7" x14ac:dyDescent="0.35">
      <c r="A249" t="s">
        <v>1590</v>
      </c>
      <c r="B249" s="4" t="s">
        <v>1586</v>
      </c>
      <c r="C249">
        <v>6</v>
      </c>
      <c r="D249" s="7">
        <v>5</v>
      </c>
      <c r="E249">
        <v>1</v>
      </c>
      <c r="F249" t="s">
        <v>1324</v>
      </c>
      <c r="G249" t="s">
        <v>46</v>
      </c>
    </row>
    <row r="250" spans="1:7" x14ac:dyDescent="0.35">
      <c r="A250" t="s">
        <v>1591</v>
      </c>
      <c r="B250" s="4" t="s">
        <v>1586</v>
      </c>
      <c r="C250">
        <v>9</v>
      </c>
      <c r="D250" s="7">
        <v>7</v>
      </c>
      <c r="E250">
        <v>1</v>
      </c>
      <c r="F250" t="s">
        <v>1324</v>
      </c>
      <c r="G250" t="s">
        <v>46</v>
      </c>
    </row>
    <row r="251" spans="1:7" x14ac:dyDescent="0.35">
      <c r="A251" t="s">
        <v>1592</v>
      </c>
      <c r="B251" s="4" t="s">
        <v>1593</v>
      </c>
      <c r="C251">
        <v>1</v>
      </c>
      <c r="D251" s="7">
        <v>10</v>
      </c>
      <c r="E251">
        <v>1</v>
      </c>
      <c r="F251" t="s">
        <v>1321</v>
      </c>
      <c r="G251" t="s">
        <v>46</v>
      </c>
    </row>
    <row r="252" spans="1:7" x14ac:dyDescent="0.35">
      <c r="A252" t="s">
        <v>1594</v>
      </c>
      <c r="B252" s="4" t="s">
        <v>1593</v>
      </c>
      <c r="C252">
        <v>1</v>
      </c>
      <c r="D252" s="7">
        <v>5</v>
      </c>
      <c r="E252">
        <v>2</v>
      </c>
      <c r="F252" t="s">
        <v>1321</v>
      </c>
      <c r="G252" t="s">
        <v>54</v>
      </c>
    </row>
    <row r="253" spans="1:7" x14ac:dyDescent="0.35">
      <c r="A253" t="s">
        <v>1595</v>
      </c>
      <c r="B253" s="4" t="s">
        <v>1593</v>
      </c>
      <c r="C253">
        <v>4</v>
      </c>
      <c r="D253" s="7">
        <v>9</v>
      </c>
      <c r="E253">
        <v>1</v>
      </c>
      <c r="F253" t="s">
        <v>1324</v>
      </c>
      <c r="G253" t="s">
        <v>46</v>
      </c>
    </row>
    <row r="254" spans="1:7" x14ac:dyDescent="0.35">
      <c r="A254" t="s">
        <v>1596</v>
      </c>
      <c r="B254" s="4" t="s">
        <v>1593</v>
      </c>
      <c r="C254">
        <v>5</v>
      </c>
      <c r="D254" s="7">
        <v>14</v>
      </c>
      <c r="E254">
        <v>1</v>
      </c>
      <c r="F254" t="s">
        <v>1324</v>
      </c>
      <c r="G254" t="s">
        <v>46</v>
      </c>
    </row>
    <row r="255" spans="1:7" x14ac:dyDescent="0.35">
      <c r="A255" t="s">
        <v>1597</v>
      </c>
      <c r="B255" s="4" t="s">
        <v>1593</v>
      </c>
      <c r="C255">
        <v>6</v>
      </c>
      <c r="D255" s="7">
        <v>13</v>
      </c>
      <c r="E255">
        <v>1</v>
      </c>
      <c r="F255" t="s">
        <v>1324</v>
      </c>
      <c r="G255" t="s">
        <v>46</v>
      </c>
    </row>
    <row r="256" spans="1:7" x14ac:dyDescent="0.35">
      <c r="A256" t="s">
        <v>1598</v>
      </c>
      <c r="B256" s="4" t="s">
        <v>1593</v>
      </c>
      <c r="C256">
        <v>9</v>
      </c>
      <c r="D256" s="7">
        <v>12</v>
      </c>
      <c r="E256">
        <v>1</v>
      </c>
      <c r="F256" t="s">
        <v>1324</v>
      </c>
      <c r="G256" t="s">
        <v>46</v>
      </c>
    </row>
    <row r="257" spans="1:7" x14ac:dyDescent="0.35">
      <c r="A257" t="s">
        <v>1599</v>
      </c>
      <c r="B257" s="4" t="s">
        <v>1600</v>
      </c>
      <c r="C257">
        <v>1</v>
      </c>
      <c r="D257" s="7">
        <v>11</v>
      </c>
      <c r="E257">
        <v>1</v>
      </c>
      <c r="F257" t="s">
        <v>1321</v>
      </c>
      <c r="G257" t="s">
        <v>46</v>
      </c>
    </row>
    <row r="258" spans="1:7" x14ac:dyDescent="0.35">
      <c r="A258" t="s">
        <v>1601</v>
      </c>
      <c r="B258" s="4" t="s">
        <v>1600</v>
      </c>
      <c r="C258">
        <v>1</v>
      </c>
      <c r="D258" s="7">
        <v>6</v>
      </c>
      <c r="E258">
        <v>2</v>
      </c>
      <c r="F258" t="s">
        <v>1321</v>
      </c>
      <c r="G258" t="s">
        <v>54</v>
      </c>
    </row>
    <row r="259" spans="1:7" x14ac:dyDescent="0.35">
      <c r="A259" t="s">
        <v>1602</v>
      </c>
      <c r="B259" s="4" t="s">
        <v>1600</v>
      </c>
      <c r="C259">
        <v>4</v>
      </c>
      <c r="D259" s="7">
        <v>12</v>
      </c>
      <c r="E259">
        <v>1</v>
      </c>
      <c r="F259" t="s">
        <v>1324</v>
      </c>
      <c r="G259" t="s">
        <v>46</v>
      </c>
    </row>
    <row r="260" spans="1:7" x14ac:dyDescent="0.35">
      <c r="A260" t="s">
        <v>1603</v>
      </c>
      <c r="B260" s="4" t="s">
        <v>1600</v>
      </c>
      <c r="C260">
        <v>5</v>
      </c>
      <c r="D260" s="7">
        <v>14</v>
      </c>
      <c r="E260">
        <v>1</v>
      </c>
      <c r="F260" t="s">
        <v>1324</v>
      </c>
      <c r="G260" t="s">
        <v>46</v>
      </c>
    </row>
    <row r="261" spans="1:7" x14ac:dyDescent="0.35">
      <c r="A261" t="s">
        <v>1604</v>
      </c>
      <c r="B261" s="4" t="s">
        <v>1600</v>
      </c>
      <c r="C261">
        <v>6</v>
      </c>
      <c r="D261" s="7">
        <v>10</v>
      </c>
      <c r="E261">
        <v>1</v>
      </c>
      <c r="F261" t="s">
        <v>1324</v>
      </c>
      <c r="G261" t="s">
        <v>46</v>
      </c>
    </row>
    <row r="262" spans="1:7" x14ac:dyDescent="0.35">
      <c r="A262" t="s">
        <v>1605</v>
      </c>
      <c r="B262" s="4" t="s">
        <v>1600</v>
      </c>
      <c r="C262">
        <v>9</v>
      </c>
      <c r="D262" s="7">
        <v>12</v>
      </c>
      <c r="E262">
        <v>1</v>
      </c>
      <c r="F262" t="s">
        <v>1324</v>
      </c>
      <c r="G262" t="s">
        <v>46</v>
      </c>
    </row>
    <row r="263" spans="1:7" x14ac:dyDescent="0.35">
      <c r="A263" t="s">
        <v>1606</v>
      </c>
      <c r="B263" s="4" t="s">
        <v>285</v>
      </c>
      <c r="C263">
        <v>1</v>
      </c>
      <c r="D263" s="7">
        <v>13</v>
      </c>
      <c r="E263">
        <v>1</v>
      </c>
      <c r="F263" t="s">
        <v>1321</v>
      </c>
      <c r="G263" t="s">
        <v>46</v>
      </c>
    </row>
    <row r="264" spans="1:7" x14ac:dyDescent="0.35">
      <c r="A264" t="s">
        <v>1607</v>
      </c>
      <c r="B264" s="4" t="s">
        <v>285</v>
      </c>
      <c r="C264">
        <v>1</v>
      </c>
      <c r="D264" s="7">
        <v>6</v>
      </c>
      <c r="E264">
        <v>2</v>
      </c>
      <c r="F264" t="s">
        <v>1321</v>
      </c>
      <c r="G264" t="s">
        <v>54</v>
      </c>
    </row>
    <row r="265" spans="1:7" x14ac:dyDescent="0.35">
      <c r="A265" t="s">
        <v>1608</v>
      </c>
      <c r="B265" s="4" t="s">
        <v>285</v>
      </c>
      <c r="C265">
        <v>4</v>
      </c>
      <c r="D265" s="7">
        <v>8</v>
      </c>
      <c r="E265">
        <v>1</v>
      </c>
      <c r="F265" t="s">
        <v>1324</v>
      </c>
      <c r="G265" t="s">
        <v>46</v>
      </c>
    </row>
    <row r="266" spans="1:7" x14ac:dyDescent="0.35">
      <c r="A266" t="s">
        <v>1609</v>
      </c>
      <c r="B266" s="4" t="s">
        <v>285</v>
      </c>
      <c r="C266">
        <v>5</v>
      </c>
      <c r="D266" s="7">
        <v>15</v>
      </c>
      <c r="E266">
        <v>1</v>
      </c>
      <c r="F266" t="s">
        <v>1324</v>
      </c>
      <c r="G266" t="s">
        <v>46</v>
      </c>
    </row>
    <row r="267" spans="1:7" x14ac:dyDescent="0.35">
      <c r="A267" t="s">
        <v>1610</v>
      </c>
      <c r="B267" s="4" t="s">
        <v>285</v>
      </c>
      <c r="C267">
        <v>6</v>
      </c>
      <c r="D267" s="7">
        <v>9</v>
      </c>
      <c r="E267">
        <v>1</v>
      </c>
      <c r="F267" t="s">
        <v>1324</v>
      </c>
      <c r="G267" t="s">
        <v>46</v>
      </c>
    </row>
    <row r="268" spans="1:7" x14ac:dyDescent="0.35">
      <c r="A268" t="s">
        <v>1611</v>
      </c>
      <c r="B268" s="4" t="s">
        <v>285</v>
      </c>
      <c r="C268">
        <v>9</v>
      </c>
      <c r="D268" s="7">
        <v>9</v>
      </c>
      <c r="E268">
        <v>1</v>
      </c>
      <c r="F268" t="s">
        <v>1324</v>
      </c>
      <c r="G268" t="s">
        <v>46</v>
      </c>
    </row>
    <row r="269" spans="1:7" x14ac:dyDescent="0.35">
      <c r="A269" t="s">
        <v>1612</v>
      </c>
      <c r="B269" s="4" t="s">
        <v>294</v>
      </c>
      <c r="C269">
        <v>1</v>
      </c>
      <c r="D269" s="7">
        <v>14</v>
      </c>
      <c r="E269">
        <v>1</v>
      </c>
      <c r="F269" t="s">
        <v>1321</v>
      </c>
      <c r="G269" t="s">
        <v>46</v>
      </c>
    </row>
    <row r="270" spans="1:7" x14ac:dyDescent="0.35">
      <c r="A270" t="s">
        <v>1613</v>
      </c>
      <c r="B270" s="4" t="s">
        <v>294</v>
      </c>
      <c r="C270">
        <v>1</v>
      </c>
      <c r="D270" s="7">
        <v>5</v>
      </c>
      <c r="E270">
        <v>2</v>
      </c>
      <c r="F270" t="s">
        <v>1321</v>
      </c>
      <c r="G270" t="s">
        <v>54</v>
      </c>
    </row>
    <row r="271" spans="1:7" x14ac:dyDescent="0.35">
      <c r="A271" t="s">
        <v>1614</v>
      </c>
      <c r="B271" s="4" t="s">
        <v>294</v>
      </c>
      <c r="C271">
        <v>4</v>
      </c>
      <c r="D271" s="7">
        <v>10</v>
      </c>
      <c r="E271">
        <v>1</v>
      </c>
      <c r="F271" t="s">
        <v>1324</v>
      </c>
      <c r="G271" t="s">
        <v>46</v>
      </c>
    </row>
    <row r="272" spans="1:7" x14ac:dyDescent="0.35">
      <c r="A272" t="s">
        <v>1615</v>
      </c>
      <c r="B272" s="4" t="s">
        <v>294</v>
      </c>
      <c r="C272">
        <v>5</v>
      </c>
      <c r="D272" s="7">
        <v>13</v>
      </c>
      <c r="E272">
        <v>1</v>
      </c>
      <c r="F272" t="s">
        <v>1324</v>
      </c>
      <c r="G272" t="s">
        <v>46</v>
      </c>
    </row>
    <row r="273" spans="1:7" x14ac:dyDescent="0.35">
      <c r="A273" t="s">
        <v>1616</v>
      </c>
      <c r="B273" s="4" t="s">
        <v>294</v>
      </c>
      <c r="C273">
        <v>6</v>
      </c>
      <c r="D273" s="7">
        <v>9</v>
      </c>
      <c r="E273">
        <v>1</v>
      </c>
      <c r="F273" t="s">
        <v>1324</v>
      </c>
      <c r="G273" t="s">
        <v>46</v>
      </c>
    </row>
    <row r="274" spans="1:7" x14ac:dyDescent="0.35">
      <c r="A274" t="s">
        <v>1617</v>
      </c>
      <c r="B274" s="4" t="s">
        <v>294</v>
      </c>
      <c r="C274">
        <v>9</v>
      </c>
      <c r="D274" s="7">
        <v>11</v>
      </c>
      <c r="E274">
        <v>1</v>
      </c>
      <c r="F274" t="s">
        <v>1324</v>
      </c>
      <c r="G274" t="s">
        <v>46</v>
      </c>
    </row>
    <row r="275" spans="1:7" x14ac:dyDescent="0.35">
      <c r="A275" t="s">
        <v>1618</v>
      </c>
      <c r="B275" s="4" t="s">
        <v>299</v>
      </c>
      <c r="C275">
        <v>1</v>
      </c>
      <c r="D275" s="7">
        <v>12</v>
      </c>
      <c r="E275">
        <v>1</v>
      </c>
      <c r="F275" t="s">
        <v>1321</v>
      </c>
      <c r="G275" t="s">
        <v>46</v>
      </c>
    </row>
    <row r="276" spans="1:7" x14ac:dyDescent="0.35">
      <c r="A276" t="s">
        <v>1619</v>
      </c>
      <c r="B276" s="4" t="s">
        <v>299</v>
      </c>
      <c r="C276">
        <v>1</v>
      </c>
      <c r="D276" s="7">
        <v>6</v>
      </c>
      <c r="E276">
        <v>2</v>
      </c>
      <c r="F276" t="s">
        <v>1321</v>
      </c>
      <c r="G276" t="s">
        <v>54</v>
      </c>
    </row>
    <row r="277" spans="1:7" x14ac:dyDescent="0.35">
      <c r="A277" t="s">
        <v>1620</v>
      </c>
      <c r="B277" s="4" t="s">
        <v>299</v>
      </c>
      <c r="C277">
        <v>4</v>
      </c>
      <c r="D277" s="7">
        <v>15</v>
      </c>
      <c r="E277">
        <v>1</v>
      </c>
      <c r="F277" t="s">
        <v>1324</v>
      </c>
      <c r="G277" t="s">
        <v>46</v>
      </c>
    </row>
    <row r="278" spans="1:7" x14ac:dyDescent="0.35">
      <c r="A278" t="s">
        <v>1621</v>
      </c>
      <c r="B278" s="4" t="s">
        <v>299</v>
      </c>
      <c r="C278">
        <v>5</v>
      </c>
      <c r="D278" s="7">
        <v>12</v>
      </c>
      <c r="E278">
        <v>1</v>
      </c>
      <c r="F278" t="s">
        <v>1324</v>
      </c>
      <c r="G278" t="s">
        <v>46</v>
      </c>
    </row>
    <row r="279" spans="1:7" x14ac:dyDescent="0.35">
      <c r="A279" t="s">
        <v>1622</v>
      </c>
      <c r="B279" s="4" t="s">
        <v>299</v>
      </c>
      <c r="C279">
        <v>6</v>
      </c>
      <c r="D279" s="7">
        <v>8</v>
      </c>
      <c r="E279">
        <v>1</v>
      </c>
      <c r="F279" t="s">
        <v>1324</v>
      </c>
      <c r="G279" t="s">
        <v>46</v>
      </c>
    </row>
    <row r="280" spans="1:7" x14ac:dyDescent="0.35">
      <c r="A280" t="s">
        <v>1623</v>
      </c>
      <c r="B280" s="4" t="s">
        <v>299</v>
      </c>
      <c r="C280">
        <v>9</v>
      </c>
      <c r="D280" s="7">
        <v>12</v>
      </c>
      <c r="E280">
        <v>1</v>
      </c>
      <c r="F280" t="s">
        <v>1324</v>
      </c>
      <c r="G280" t="s">
        <v>46</v>
      </c>
    </row>
    <row r="281" spans="1:7" x14ac:dyDescent="0.35">
      <c r="A281" t="s">
        <v>1624</v>
      </c>
      <c r="B281" s="4" t="s">
        <v>303</v>
      </c>
      <c r="C281">
        <v>1</v>
      </c>
      <c r="D281" s="7">
        <v>4</v>
      </c>
      <c r="E281">
        <v>1</v>
      </c>
      <c r="F281" t="s">
        <v>1321</v>
      </c>
      <c r="G281" t="s">
        <v>46</v>
      </c>
    </row>
    <row r="282" spans="1:7" x14ac:dyDescent="0.35">
      <c r="A282" t="s">
        <v>1625</v>
      </c>
      <c r="B282" s="4" t="s">
        <v>303</v>
      </c>
      <c r="C282">
        <v>1</v>
      </c>
      <c r="D282" s="7">
        <v>1</v>
      </c>
      <c r="E282">
        <v>2</v>
      </c>
      <c r="F282" t="s">
        <v>1321</v>
      </c>
      <c r="G282" t="s">
        <v>54</v>
      </c>
    </row>
    <row r="283" spans="1:7" x14ac:dyDescent="0.35">
      <c r="A283" t="s">
        <v>1626</v>
      </c>
      <c r="B283" s="4" t="s">
        <v>303</v>
      </c>
      <c r="C283">
        <v>4</v>
      </c>
      <c r="D283" s="7">
        <v>4</v>
      </c>
      <c r="E283">
        <v>1</v>
      </c>
      <c r="F283" t="s">
        <v>1324</v>
      </c>
      <c r="G283" t="s">
        <v>46</v>
      </c>
    </row>
    <row r="284" spans="1:7" x14ac:dyDescent="0.35">
      <c r="A284" t="s">
        <v>1627</v>
      </c>
      <c r="B284" s="4" t="s">
        <v>303</v>
      </c>
      <c r="C284">
        <v>5</v>
      </c>
      <c r="D284" s="7">
        <v>4</v>
      </c>
      <c r="E284">
        <v>1</v>
      </c>
      <c r="F284" t="s">
        <v>1324</v>
      </c>
      <c r="G284" t="s">
        <v>46</v>
      </c>
    </row>
    <row r="285" spans="1:7" x14ac:dyDescent="0.35">
      <c r="A285" t="s">
        <v>1628</v>
      </c>
      <c r="B285" s="4" t="s">
        <v>303</v>
      </c>
      <c r="C285">
        <v>6</v>
      </c>
      <c r="D285" s="7">
        <v>5</v>
      </c>
      <c r="E285">
        <v>1</v>
      </c>
      <c r="F285" t="s">
        <v>1324</v>
      </c>
      <c r="G285" t="s">
        <v>46</v>
      </c>
    </row>
    <row r="286" spans="1:7" x14ac:dyDescent="0.35">
      <c r="A286" t="s">
        <v>1629</v>
      </c>
      <c r="B286" s="4" t="s">
        <v>303</v>
      </c>
      <c r="C286">
        <v>9</v>
      </c>
      <c r="D286" s="7">
        <v>6</v>
      </c>
      <c r="E286">
        <v>1</v>
      </c>
      <c r="F286" t="s">
        <v>1324</v>
      </c>
      <c r="G286" t="s">
        <v>46</v>
      </c>
    </row>
    <row r="287" spans="1:7" x14ac:dyDescent="0.35">
      <c r="A287" t="s">
        <v>1630</v>
      </c>
      <c r="B287" s="4" t="s">
        <v>1631</v>
      </c>
      <c r="C287">
        <v>1</v>
      </c>
      <c r="D287" s="7">
        <v>4</v>
      </c>
      <c r="E287">
        <v>1</v>
      </c>
      <c r="F287" t="s">
        <v>1321</v>
      </c>
      <c r="G287" t="s">
        <v>46</v>
      </c>
    </row>
    <row r="288" spans="1:7" x14ac:dyDescent="0.35">
      <c r="A288" t="s">
        <v>1632</v>
      </c>
      <c r="B288" s="4" t="s">
        <v>1631</v>
      </c>
      <c r="C288">
        <v>1</v>
      </c>
      <c r="D288" s="7">
        <v>1</v>
      </c>
      <c r="E288">
        <v>2</v>
      </c>
      <c r="F288" t="s">
        <v>1321</v>
      </c>
      <c r="G288" t="s">
        <v>54</v>
      </c>
    </row>
    <row r="289" spans="1:7" x14ac:dyDescent="0.35">
      <c r="A289" t="s">
        <v>1633</v>
      </c>
      <c r="B289" s="4" t="s">
        <v>1631</v>
      </c>
      <c r="C289">
        <v>4</v>
      </c>
      <c r="D289" s="7">
        <v>5</v>
      </c>
      <c r="E289">
        <v>1</v>
      </c>
      <c r="F289" t="s">
        <v>1324</v>
      </c>
      <c r="G289" t="s">
        <v>46</v>
      </c>
    </row>
    <row r="290" spans="1:7" x14ac:dyDescent="0.35">
      <c r="A290" t="s">
        <v>1634</v>
      </c>
      <c r="B290" s="4" t="s">
        <v>1631</v>
      </c>
      <c r="C290">
        <v>5</v>
      </c>
      <c r="D290" s="7">
        <v>6</v>
      </c>
      <c r="E290">
        <v>1</v>
      </c>
      <c r="F290" t="s">
        <v>1324</v>
      </c>
      <c r="G290" t="s">
        <v>46</v>
      </c>
    </row>
    <row r="291" spans="1:7" x14ac:dyDescent="0.35">
      <c r="A291" t="s">
        <v>1635</v>
      </c>
      <c r="B291" s="4" t="s">
        <v>1631</v>
      </c>
      <c r="C291">
        <v>6</v>
      </c>
      <c r="D291" s="7">
        <v>7</v>
      </c>
      <c r="E291">
        <v>1</v>
      </c>
      <c r="F291" t="s">
        <v>1324</v>
      </c>
      <c r="G291" t="s">
        <v>46</v>
      </c>
    </row>
    <row r="292" spans="1:7" x14ac:dyDescent="0.35">
      <c r="A292" t="s">
        <v>1636</v>
      </c>
      <c r="B292" s="4" t="s">
        <v>1631</v>
      </c>
      <c r="C292">
        <v>9</v>
      </c>
      <c r="D292" s="7">
        <v>6</v>
      </c>
      <c r="E292">
        <v>1</v>
      </c>
      <c r="F292" t="s">
        <v>1324</v>
      </c>
      <c r="G292" t="s">
        <v>46</v>
      </c>
    </row>
    <row r="293" spans="1:7" x14ac:dyDescent="0.35">
      <c r="A293" t="s">
        <v>1637</v>
      </c>
      <c r="B293" s="4" t="s">
        <v>1638</v>
      </c>
      <c r="C293">
        <v>1</v>
      </c>
      <c r="D293" s="7">
        <v>10</v>
      </c>
      <c r="E293">
        <v>1</v>
      </c>
      <c r="F293" t="s">
        <v>1321</v>
      </c>
      <c r="G293" t="s">
        <v>46</v>
      </c>
    </row>
    <row r="294" spans="1:7" x14ac:dyDescent="0.35">
      <c r="A294" t="s">
        <v>1639</v>
      </c>
      <c r="B294" s="4" t="s">
        <v>1638</v>
      </c>
      <c r="C294">
        <v>1</v>
      </c>
      <c r="D294" s="7">
        <v>4</v>
      </c>
      <c r="E294">
        <v>2</v>
      </c>
      <c r="F294" t="s">
        <v>1321</v>
      </c>
      <c r="G294" t="s">
        <v>54</v>
      </c>
    </row>
    <row r="295" spans="1:7" x14ac:dyDescent="0.35">
      <c r="A295" t="s">
        <v>1640</v>
      </c>
      <c r="B295" s="4" t="s">
        <v>1638</v>
      </c>
      <c r="C295">
        <v>4</v>
      </c>
      <c r="D295" s="7">
        <v>12</v>
      </c>
      <c r="E295">
        <v>1</v>
      </c>
      <c r="F295" t="s">
        <v>1324</v>
      </c>
      <c r="G295" t="s">
        <v>46</v>
      </c>
    </row>
    <row r="296" spans="1:7" x14ac:dyDescent="0.35">
      <c r="A296" t="s">
        <v>1641</v>
      </c>
      <c r="B296" s="4" t="s">
        <v>1638</v>
      </c>
      <c r="C296">
        <v>5</v>
      </c>
      <c r="D296" s="7">
        <v>8</v>
      </c>
      <c r="E296">
        <v>1</v>
      </c>
      <c r="F296" t="s">
        <v>1324</v>
      </c>
      <c r="G296" t="s">
        <v>46</v>
      </c>
    </row>
    <row r="297" spans="1:7" x14ac:dyDescent="0.35">
      <c r="A297" t="s">
        <v>1642</v>
      </c>
      <c r="B297" s="4" t="s">
        <v>1638</v>
      </c>
      <c r="C297">
        <v>6</v>
      </c>
      <c r="D297" s="7">
        <v>8</v>
      </c>
      <c r="E297">
        <v>1</v>
      </c>
      <c r="F297" t="s">
        <v>1324</v>
      </c>
      <c r="G297" t="s">
        <v>46</v>
      </c>
    </row>
    <row r="298" spans="1:7" x14ac:dyDescent="0.35">
      <c r="A298" t="s">
        <v>1643</v>
      </c>
      <c r="B298" s="4" t="s">
        <v>1638</v>
      </c>
      <c r="C298">
        <v>9</v>
      </c>
      <c r="D298" s="7">
        <v>13</v>
      </c>
      <c r="E298">
        <v>1</v>
      </c>
      <c r="F298" t="s">
        <v>1324</v>
      </c>
      <c r="G298" t="s">
        <v>46</v>
      </c>
    </row>
    <row r="299" spans="1:7" x14ac:dyDescent="0.35">
      <c r="A299" t="s">
        <v>1644</v>
      </c>
      <c r="B299" s="4" t="s">
        <v>1645</v>
      </c>
      <c r="C299">
        <v>1</v>
      </c>
      <c r="D299" s="7">
        <v>11</v>
      </c>
      <c r="E299">
        <v>1</v>
      </c>
      <c r="F299" t="s">
        <v>1321</v>
      </c>
      <c r="G299" t="s">
        <v>46</v>
      </c>
    </row>
    <row r="300" spans="1:7" x14ac:dyDescent="0.35">
      <c r="A300" t="s">
        <v>1646</v>
      </c>
      <c r="B300" s="4" t="s">
        <v>1645</v>
      </c>
      <c r="C300">
        <v>1</v>
      </c>
      <c r="D300" s="7">
        <v>6</v>
      </c>
      <c r="E300">
        <v>2</v>
      </c>
      <c r="F300" t="s">
        <v>1321</v>
      </c>
      <c r="G300" t="s">
        <v>54</v>
      </c>
    </row>
    <row r="301" spans="1:7" x14ac:dyDescent="0.35">
      <c r="A301" t="s">
        <v>1647</v>
      </c>
      <c r="B301" s="4" t="s">
        <v>1645</v>
      </c>
      <c r="C301">
        <v>4</v>
      </c>
      <c r="D301" s="7">
        <v>15</v>
      </c>
      <c r="E301">
        <v>1</v>
      </c>
      <c r="F301" t="s">
        <v>1324</v>
      </c>
      <c r="G301" t="s">
        <v>46</v>
      </c>
    </row>
    <row r="302" spans="1:7" x14ac:dyDescent="0.35">
      <c r="A302" t="s">
        <v>1648</v>
      </c>
      <c r="B302" s="4" t="s">
        <v>1645</v>
      </c>
      <c r="C302">
        <v>5</v>
      </c>
      <c r="D302" s="7">
        <v>14</v>
      </c>
      <c r="E302">
        <v>1</v>
      </c>
      <c r="F302" t="s">
        <v>1324</v>
      </c>
      <c r="G302" t="s">
        <v>46</v>
      </c>
    </row>
    <row r="303" spans="1:7" x14ac:dyDescent="0.35">
      <c r="A303" t="s">
        <v>1649</v>
      </c>
      <c r="B303" s="4" t="s">
        <v>1645</v>
      </c>
      <c r="C303">
        <v>6</v>
      </c>
      <c r="D303" s="7">
        <v>8</v>
      </c>
      <c r="E303">
        <v>1</v>
      </c>
      <c r="F303" t="s">
        <v>1324</v>
      </c>
      <c r="G303" t="s">
        <v>46</v>
      </c>
    </row>
    <row r="304" spans="1:7" x14ac:dyDescent="0.35">
      <c r="A304" t="s">
        <v>1650</v>
      </c>
      <c r="B304" s="4" t="s">
        <v>1645</v>
      </c>
      <c r="C304">
        <v>9</v>
      </c>
      <c r="D304" s="7">
        <v>9</v>
      </c>
      <c r="E304">
        <v>1</v>
      </c>
      <c r="F304" t="s">
        <v>1324</v>
      </c>
      <c r="G304" t="s">
        <v>46</v>
      </c>
    </row>
    <row r="305" spans="1:7" x14ac:dyDescent="0.35">
      <c r="A305" t="s">
        <v>1651</v>
      </c>
      <c r="B305" s="4" t="s">
        <v>1652</v>
      </c>
      <c r="C305">
        <v>1</v>
      </c>
      <c r="D305" s="7">
        <v>10</v>
      </c>
      <c r="E305">
        <v>1</v>
      </c>
      <c r="F305" t="s">
        <v>1321</v>
      </c>
      <c r="G305" t="s">
        <v>46</v>
      </c>
    </row>
    <row r="306" spans="1:7" x14ac:dyDescent="0.35">
      <c r="A306" t="s">
        <v>1653</v>
      </c>
      <c r="B306" s="4" t="s">
        <v>1652</v>
      </c>
      <c r="C306">
        <v>1</v>
      </c>
      <c r="D306" s="7">
        <v>5</v>
      </c>
      <c r="E306">
        <v>2</v>
      </c>
      <c r="F306" t="s">
        <v>1321</v>
      </c>
      <c r="G306" t="s">
        <v>54</v>
      </c>
    </row>
    <row r="307" spans="1:7" x14ac:dyDescent="0.35">
      <c r="A307" t="s">
        <v>1654</v>
      </c>
      <c r="B307" s="4" t="s">
        <v>1652</v>
      </c>
      <c r="C307">
        <v>4</v>
      </c>
      <c r="D307" s="7">
        <v>13</v>
      </c>
      <c r="E307">
        <v>1</v>
      </c>
      <c r="F307" t="s">
        <v>1324</v>
      </c>
      <c r="G307" t="s">
        <v>46</v>
      </c>
    </row>
    <row r="308" spans="1:7" x14ac:dyDescent="0.35">
      <c r="A308" t="s">
        <v>1655</v>
      </c>
      <c r="B308" s="4" t="s">
        <v>1652</v>
      </c>
      <c r="C308">
        <v>5</v>
      </c>
      <c r="D308" s="7">
        <v>10</v>
      </c>
      <c r="E308">
        <v>1</v>
      </c>
      <c r="F308" t="s">
        <v>1324</v>
      </c>
      <c r="G308" t="s">
        <v>46</v>
      </c>
    </row>
    <row r="309" spans="1:7" x14ac:dyDescent="0.35">
      <c r="A309" t="s">
        <v>1656</v>
      </c>
      <c r="B309" s="4" t="s">
        <v>1652</v>
      </c>
      <c r="C309">
        <v>6</v>
      </c>
      <c r="D309" s="7">
        <v>14</v>
      </c>
      <c r="E309">
        <v>1</v>
      </c>
      <c r="F309" t="s">
        <v>1324</v>
      </c>
      <c r="G309" t="s">
        <v>46</v>
      </c>
    </row>
    <row r="310" spans="1:7" x14ac:dyDescent="0.35">
      <c r="A310" t="s">
        <v>1657</v>
      </c>
      <c r="B310" s="4" t="s">
        <v>1652</v>
      </c>
      <c r="C310">
        <v>9</v>
      </c>
      <c r="D310" s="7">
        <v>10</v>
      </c>
      <c r="E310">
        <v>1</v>
      </c>
      <c r="F310" t="s">
        <v>1324</v>
      </c>
      <c r="G310" t="s">
        <v>46</v>
      </c>
    </row>
    <row r="311" spans="1:7" x14ac:dyDescent="0.35">
      <c r="A311" t="s">
        <v>1658</v>
      </c>
      <c r="B311" s="4" t="s">
        <v>1659</v>
      </c>
      <c r="C311">
        <v>1</v>
      </c>
      <c r="D311" s="7">
        <v>10</v>
      </c>
      <c r="E311">
        <v>1</v>
      </c>
      <c r="F311" t="s">
        <v>1321</v>
      </c>
      <c r="G311" t="s">
        <v>46</v>
      </c>
    </row>
    <row r="312" spans="1:7" x14ac:dyDescent="0.35">
      <c r="A312" t="s">
        <v>1660</v>
      </c>
      <c r="B312" s="4" t="s">
        <v>1659</v>
      </c>
      <c r="C312">
        <v>1</v>
      </c>
      <c r="D312" s="7">
        <v>6</v>
      </c>
      <c r="E312">
        <v>2</v>
      </c>
      <c r="F312" t="s">
        <v>1321</v>
      </c>
      <c r="G312" t="s">
        <v>54</v>
      </c>
    </row>
    <row r="313" spans="1:7" x14ac:dyDescent="0.35">
      <c r="A313" t="s">
        <v>1661</v>
      </c>
      <c r="B313" s="4" t="s">
        <v>1659</v>
      </c>
      <c r="C313">
        <v>4</v>
      </c>
      <c r="D313" s="7">
        <v>8</v>
      </c>
      <c r="E313">
        <v>1</v>
      </c>
      <c r="F313" t="s">
        <v>1324</v>
      </c>
      <c r="G313" t="s">
        <v>46</v>
      </c>
    </row>
    <row r="314" spans="1:7" x14ac:dyDescent="0.35">
      <c r="A314" t="s">
        <v>1662</v>
      </c>
      <c r="B314" s="4" t="s">
        <v>1659</v>
      </c>
      <c r="C314">
        <v>5</v>
      </c>
      <c r="D314" s="7">
        <v>13</v>
      </c>
      <c r="E314">
        <v>1</v>
      </c>
      <c r="F314" t="s">
        <v>1324</v>
      </c>
      <c r="G314" t="s">
        <v>46</v>
      </c>
    </row>
    <row r="315" spans="1:7" x14ac:dyDescent="0.35">
      <c r="A315" t="s">
        <v>1663</v>
      </c>
      <c r="B315" s="4" t="s">
        <v>1659</v>
      </c>
      <c r="C315">
        <v>6</v>
      </c>
      <c r="D315" s="7">
        <v>11</v>
      </c>
      <c r="E315">
        <v>1</v>
      </c>
      <c r="F315" t="s">
        <v>1324</v>
      </c>
      <c r="G315" t="s">
        <v>46</v>
      </c>
    </row>
    <row r="316" spans="1:7" x14ac:dyDescent="0.35">
      <c r="A316" t="s">
        <v>1664</v>
      </c>
      <c r="B316" s="4" t="s">
        <v>1659</v>
      </c>
      <c r="C316">
        <v>9</v>
      </c>
      <c r="D316" s="7">
        <v>11</v>
      </c>
      <c r="E316">
        <v>1</v>
      </c>
      <c r="F316" t="s">
        <v>1324</v>
      </c>
      <c r="G316" t="s">
        <v>46</v>
      </c>
    </row>
    <row r="317" spans="1:7" x14ac:dyDescent="0.35">
      <c r="A317" t="s">
        <v>1665</v>
      </c>
      <c r="B317" s="4" t="s">
        <v>1666</v>
      </c>
      <c r="C317">
        <v>1</v>
      </c>
      <c r="D317" s="7">
        <v>10</v>
      </c>
      <c r="E317">
        <v>1</v>
      </c>
      <c r="F317" t="s">
        <v>1321</v>
      </c>
      <c r="G317" t="s">
        <v>46</v>
      </c>
    </row>
    <row r="318" spans="1:7" x14ac:dyDescent="0.35">
      <c r="A318" t="s">
        <v>1667</v>
      </c>
      <c r="B318" s="4" t="s">
        <v>1666</v>
      </c>
      <c r="C318">
        <v>1</v>
      </c>
      <c r="D318" s="7">
        <v>6</v>
      </c>
      <c r="E318">
        <v>2</v>
      </c>
      <c r="F318" t="s">
        <v>1321</v>
      </c>
      <c r="G318" t="s">
        <v>54</v>
      </c>
    </row>
    <row r="319" spans="1:7" x14ac:dyDescent="0.35">
      <c r="A319" t="s">
        <v>1668</v>
      </c>
      <c r="B319" s="4" t="s">
        <v>1666</v>
      </c>
      <c r="C319">
        <v>4</v>
      </c>
      <c r="D319" s="7">
        <v>10</v>
      </c>
      <c r="E319">
        <v>1</v>
      </c>
      <c r="F319" t="s">
        <v>1324</v>
      </c>
      <c r="G319" t="s">
        <v>46</v>
      </c>
    </row>
    <row r="320" spans="1:7" x14ac:dyDescent="0.35">
      <c r="A320" t="s">
        <v>1669</v>
      </c>
      <c r="B320" s="4" t="s">
        <v>1666</v>
      </c>
      <c r="C320">
        <v>5</v>
      </c>
      <c r="D320" s="7">
        <v>11</v>
      </c>
      <c r="E320">
        <v>1</v>
      </c>
      <c r="F320" t="s">
        <v>1324</v>
      </c>
      <c r="G320" t="s">
        <v>46</v>
      </c>
    </row>
    <row r="321" spans="1:7" x14ac:dyDescent="0.35">
      <c r="A321" t="s">
        <v>1670</v>
      </c>
      <c r="B321" s="4" t="s">
        <v>1666</v>
      </c>
      <c r="C321">
        <v>6</v>
      </c>
      <c r="D321" s="7">
        <v>10</v>
      </c>
      <c r="E321">
        <v>1</v>
      </c>
      <c r="F321" t="s">
        <v>1324</v>
      </c>
      <c r="G321" t="s">
        <v>46</v>
      </c>
    </row>
    <row r="322" spans="1:7" x14ac:dyDescent="0.35">
      <c r="A322" t="s">
        <v>1671</v>
      </c>
      <c r="B322" s="4" t="s">
        <v>1666</v>
      </c>
      <c r="C322">
        <v>9</v>
      </c>
      <c r="D322" s="7">
        <v>10</v>
      </c>
      <c r="E322">
        <v>1</v>
      </c>
      <c r="F322" t="s">
        <v>1324</v>
      </c>
      <c r="G322" t="s">
        <v>46</v>
      </c>
    </row>
    <row r="323" spans="1:7" x14ac:dyDescent="0.35">
      <c r="A323" t="s">
        <v>1672</v>
      </c>
      <c r="B323" s="4" t="s">
        <v>1673</v>
      </c>
      <c r="C323">
        <v>1</v>
      </c>
      <c r="D323" s="7">
        <v>5</v>
      </c>
      <c r="E323">
        <v>1</v>
      </c>
      <c r="F323" t="s">
        <v>1321</v>
      </c>
      <c r="G323" t="s">
        <v>46</v>
      </c>
    </row>
    <row r="324" spans="1:7" x14ac:dyDescent="0.35">
      <c r="A324" t="s">
        <v>1674</v>
      </c>
      <c r="B324" s="4" t="s">
        <v>1673</v>
      </c>
      <c r="C324">
        <v>1</v>
      </c>
      <c r="D324" s="7">
        <v>1</v>
      </c>
      <c r="E324">
        <v>2</v>
      </c>
      <c r="F324" t="s">
        <v>1321</v>
      </c>
      <c r="G324" t="s">
        <v>54</v>
      </c>
    </row>
    <row r="325" spans="1:7" x14ac:dyDescent="0.35">
      <c r="A325" t="s">
        <v>1675</v>
      </c>
      <c r="B325" s="4" t="s">
        <v>1673</v>
      </c>
      <c r="C325">
        <v>4</v>
      </c>
      <c r="D325" s="7">
        <v>6</v>
      </c>
      <c r="E325">
        <v>1</v>
      </c>
      <c r="F325" t="s">
        <v>1324</v>
      </c>
      <c r="G325" t="s">
        <v>46</v>
      </c>
    </row>
    <row r="326" spans="1:7" x14ac:dyDescent="0.35">
      <c r="A326" t="s">
        <v>1676</v>
      </c>
      <c r="B326" s="4" t="s">
        <v>1673</v>
      </c>
      <c r="C326">
        <v>5</v>
      </c>
      <c r="D326" s="7">
        <v>7</v>
      </c>
      <c r="E326">
        <v>1</v>
      </c>
      <c r="F326" t="s">
        <v>1324</v>
      </c>
      <c r="G326" t="s">
        <v>46</v>
      </c>
    </row>
    <row r="327" spans="1:7" x14ac:dyDescent="0.35">
      <c r="A327" t="s">
        <v>1677</v>
      </c>
      <c r="B327" s="4" t="s">
        <v>1673</v>
      </c>
      <c r="C327">
        <v>6</v>
      </c>
      <c r="D327" s="7">
        <v>5</v>
      </c>
      <c r="E327">
        <v>1</v>
      </c>
      <c r="F327" t="s">
        <v>1324</v>
      </c>
      <c r="G327" t="s">
        <v>46</v>
      </c>
    </row>
    <row r="328" spans="1:7" x14ac:dyDescent="0.35">
      <c r="A328" t="s">
        <v>1678</v>
      </c>
      <c r="B328" s="4" t="s">
        <v>1673</v>
      </c>
      <c r="C328">
        <v>9</v>
      </c>
      <c r="D328" s="7">
        <v>6</v>
      </c>
      <c r="E328">
        <v>1</v>
      </c>
      <c r="F328" t="s">
        <v>1324</v>
      </c>
      <c r="G328" t="s">
        <v>46</v>
      </c>
    </row>
    <row r="329" spans="1:7" x14ac:dyDescent="0.35">
      <c r="A329" t="s">
        <v>1679</v>
      </c>
      <c r="B329" s="4" t="s">
        <v>1680</v>
      </c>
      <c r="C329">
        <v>1</v>
      </c>
      <c r="D329" s="7">
        <v>4</v>
      </c>
      <c r="E329">
        <v>1</v>
      </c>
      <c r="F329" t="s">
        <v>1321</v>
      </c>
      <c r="G329" t="s">
        <v>46</v>
      </c>
    </row>
    <row r="330" spans="1:7" x14ac:dyDescent="0.35">
      <c r="A330" t="s">
        <v>1681</v>
      </c>
      <c r="B330" s="4" t="s">
        <v>1680</v>
      </c>
      <c r="C330">
        <v>1</v>
      </c>
      <c r="D330" s="7">
        <v>1</v>
      </c>
      <c r="E330">
        <v>2</v>
      </c>
      <c r="F330" t="s">
        <v>1321</v>
      </c>
      <c r="G330" t="s">
        <v>54</v>
      </c>
    </row>
    <row r="331" spans="1:7" x14ac:dyDescent="0.35">
      <c r="A331" t="s">
        <v>1682</v>
      </c>
      <c r="B331" s="4" t="s">
        <v>1680</v>
      </c>
      <c r="C331">
        <v>4</v>
      </c>
      <c r="D331" s="7">
        <v>4</v>
      </c>
      <c r="E331">
        <v>1</v>
      </c>
      <c r="F331" t="s">
        <v>1324</v>
      </c>
      <c r="G331" t="s">
        <v>46</v>
      </c>
    </row>
    <row r="332" spans="1:7" x14ac:dyDescent="0.35">
      <c r="A332" t="s">
        <v>1683</v>
      </c>
      <c r="B332" s="4" t="s">
        <v>1680</v>
      </c>
      <c r="C332">
        <v>5</v>
      </c>
      <c r="D332" s="7">
        <v>7</v>
      </c>
      <c r="E332">
        <v>1</v>
      </c>
      <c r="F332" t="s">
        <v>1324</v>
      </c>
      <c r="G332" t="s">
        <v>46</v>
      </c>
    </row>
    <row r="333" spans="1:7" x14ac:dyDescent="0.35">
      <c r="A333" t="s">
        <v>1684</v>
      </c>
      <c r="B333" s="4" t="s">
        <v>1680</v>
      </c>
      <c r="C333">
        <v>6</v>
      </c>
      <c r="D333" s="7">
        <v>5</v>
      </c>
      <c r="E333">
        <v>1</v>
      </c>
      <c r="F333" t="s">
        <v>1324</v>
      </c>
      <c r="G333" t="s">
        <v>46</v>
      </c>
    </row>
    <row r="334" spans="1:7" x14ac:dyDescent="0.35">
      <c r="A334" t="s">
        <v>1685</v>
      </c>
      <c r="B334" s="4" t="s">
        <v>1680</v>
      </c>
      <c r="C334">
        <v>9</v>
      </c>
      <c r="D334" s="7">
        <v>5</v>
      </c>
      <c r="E334">
        <v>1</v>
      </c>
      <c r="F334" t="s">
        <v>1324</v>
      </c>
      <c r="G334" t="s">
        <v>46</v>
      </c>
    </row>
    <row r="335" spans="1:7" x14ac:dyDescent="0.35">
      <c r="A335" t="s">
        <v>1686</v>
      </c>
      <c r="B335" s="4" t="s">
        <v>305</v>
      </c>
      <c r="C335">
        <v>1</v>
      </c>
      <c r="D335" s="7">
        <v>13</v>
      </c>
      <c r="E335">
        <v>1</v>
      </c>
      <c r="F335" t="s">
        <v>1321</v>
      </c>
      <c r="G335" t="s">
        <v>46</v>
      </c>
    </row>
    <row r="336" spans="1:7" x14ac:dyDescent="0.35">
      <c r="A336" t="s">
        <v>1687</v>
      </c>
      <c r="B336" s="4" t="s">
        <v>305</v>
      </c>
      <c r="C336">
        <v>1</v>
      </c>
      <c r="D336" s="7">
        <v>6</v>
      </c>
      <c r="E336">
        <v>2</v>
      </c>
      <c r="F336" t="s">
        <v>1321</v>
      </c>
      <c r="G336" t="s">
        <v>54</v>
      </c>
    </row>
    <row r="337" spans="1:7" x14ac:dyDescent="0.35">
      <c r="A337" t="s">
        <v>1688</v>
      </c>
      <c r="B337" s="4" t="s">
        <v>305</v>
      </c>
      <c r="C337">
        <v>4</v>
      </c>
      <c r="D337" s="7">
        <v>11</v>
      </c>
      <c r="E337">
        <v>1</v>
      </c>
      <c r="F337" t="s">
        <v>1324</v>
      </c>
      <c r="G337" t="s">
        <v>46</v>
      </c>
    </row>
    <row r="338" spans="1:7" x14ac:dyDescent="0.35">
      <c r="A338" t="s">
        <v>1689</v>
      </c>
      <c r="B338" s="4" t="s">
        <v>305</v>
      </c>
      <c r="C338">
        <v>5</v>
      </c>
      <c r="D338" s="7">
        <v>11</v>
      </c>
      <c r="E338">
        <v>1</v>
      </c>
      <c r="F338" t="s">
        <v>1324</v>
      </c>
      <c r="G338" t="s">
        <v>46</v>
      </c>
    </row>
    <row r="339" spans="1:7" x14ac:dyDescent="0.35">
      <c r="A339" t="s">
        <v>1690</v>
      </c>
      <c r="B339" s="4" t="s">
        <v>305</v>
      </c>
      <c r="C339">
        <v>6</v>
      </c>
      <c r="D339" s="7">
        <v>8</v>
      </c>
      <c r="E339">
        <v>1</v>
      </c>
      <c r="F339" t="s">
        <v>1324</v>
      </c>
      <c r="G339" t="s">
        <v>46</v>
      </c>
    </row>
    <row r="340" spans="1:7" x14ac:dyDescent="0.35">
      <c r="A340" t="s">
        <v>1691</v>
      </c>
      <c r="B340" s="4" t="s">
        <v>305</v>
      </c>
      <c r="C340">
        <v>9</v>
      </c>
      <c r="D340" s="7">
        <v>11</v>
      </c>
      <c r="E340">
        <v>1</v>
      </c>
      <c r="F340" t="s">
        <v>1324</v>
      </c>
      <c r="G340" t="s">
        <v>46</v>
      </c>
    </row>
    <row r="341" spans="1:7" x14ac:dyDescent="0.35">
      <c r="A341" t="s">
        <v>1692</v>
      </c>
      <c r="B341" s="4" t="s">
        <v>307</v>
      </c>
      <c r="C341">
        <v>1</v>
      </c>
      <c r="D341" s="7">
        <v>13</v>
      </c>
      <c r="E341">
        <v>1</v>
      </c>
      <c r="F341" t="s">
        <v>1321</v>
      </c>
      <c r="G341" t="s">
        <v>46</v>
      </c>
    </row>
    <row r="342" spans="1:7" x14ac:dyDescent="0.35">
      <c r="A342" t="s">
        <v>1693</v>
      </c>
      <c r="B342" s="4" t="s">
        <v>307</v>
      </c>
      <c r="C342">
        <v>1</v>
      </c>
      <c r="D342" s="7">
        <v>6</v>
      </c>
      <c r="E342">
        <v>2</v>
      </c>
      <c r="F342" t="s">
        <v>1321</v>
      </c>
      <c r="G342" t="s">
        <v>54</v>
      </c>
    </row>
    <row r="343" spans="1:7" x14ac:dyDescent="0.35">
      <c r="A343" t="s">
        <v>1694</v>
      </c>
      <c r="B343" s="4" t="s">
        <v>307</v>
      </c>
      <c r="C343">
        <v>4</v>
      </c>
      <c r="D343" s="7">
        <v>9</v>
      </c>
      <c r="E343">
        <v>1</v>
      </c>
      <c r="F343" t="s">
        <v>1324</v>
      </c>
      <c r="G343" t="s">
        <v>46</v>
      </c>
    </row>
    <row r="344" spans="1:7" x14ac:dyDescent="0.35">
      <c r="A344" t="s">
        <v>1695</v>
      </c>
      <c r="B344" s="4" t="s">
        <v>307</v>
      </c>
      <c r="C344">
        <v>5</v>
      </c>
      <c r="D344" s="7">
        <v>12</v>
      </c>
      <c r="E344">
        <v>1</v>
      </c>
      <c r="F344" t="s">
        <v>1324</v>
      </c>
      <c r="G344" t="s">
        <v>46</v>
      </c>
    </row>
    <row r="345" spans="1:7" x14ac:dyDescent="0.35">
      <c r="A345" t="s">
        <v>1696</v>
      </c>
      <c r="B345" s="4" t="s">
        <v>307</v>
      </c>
      <c r="C345">
        <v>6</v>
      </c>
      <c r="D345" s="7">
        <v>13</v>
      </c>
      <c r="E345">
        <v>1</v>
      </c>
      <c r="F345" t="s">
        <v>1324</v>
      </c>
      <c r="G345" t="s">
        <v>46</v>
      </c>
    </row>
    <row r="346" spans="1:7" x14ac:dyDescent="0.35">
      <c r="A346" t="s">
        <v>1697</v>
      </c>
      <c r="B346" s="4" t="s">
        <v>307</v>
      </c>
      <c r="C346">
        <v>9</v>
      </c>
      <c r="D346" s="7">
        <v>14</v>
      </c>
      <c r="E346">
        <v>1</v>
      </c>
      <c r="F346" t="s">
        <v>1324</v>
      </c>
      <c r="G346" t="s">
        <v>46</v>
      </c>
    </row>
    <row r="347" spans="1:7" x14ac:dyDescent="0.35">
      <c r="A347" t="s">
        <v>1698</v>
      </c>
      <c r="B347" s="4" t="s">
        <v>311</v>
      </c>
      <c r="C347">
        <v>1</v>
      </c>
      <c r="D347" s="7">
        <v>14</v>
      </c>
      <c r="E347">
        <v>1</v>
      </c>
      <c r="F347" t="s">
        <v>1321</v>
      </c>
      <c r="G347" t="s">
        <v>46</v>
      </c>
    </row>
    <row r="348" spans="1:7" x14ac:dyDescent="0.35">
      <c r="A348" t="s">
        <v>1699</v>
      </c>
      <c r="B348" s="4" t="s">
        <v>311</v>
      </c>
      <c r="C348">
        <v>1</v>
      </c>
      <c r="D348" s="7">
        <v>6</v>
      </c>
      <c r="E348">
        <v>2</v>
      </c>
      <c r="F348" t="s">
        <v>1321</v>
      </c>
      <c r="G348" t="s">
        <v>54</v>
      </c>
    </row>
    <row r="349" spans="1:7" x14ac:dyDescent="0.35">
      <c r="A349" t="s">
        <v>1700</v>
      </c>
      <c r="B349" s="4" t="s">
        <v>311</v>
      </c>
      <c r="C349">
        <v>4</v>
      </c>
      <c r="D349" s="7">
        <v>9</v>
      </c>
      <c r="E349">
        <v>1</v>
      </c>
      <c r="F349" t="s">
        <v>1324</v>
      </c>
      <c r="G349" t="s">
        <v>46</v>
      </c>
    </row>
    <row r="350" spans="1:7" x14ac:dyDescent="0.35">
      <c r="A350" t="s">
        <v>1701</v>
      </c>
      <c r="B350" s="4" t="s">
        <v>311</v>
      </c>
      <c r="C350">
        <v>5</v>
      </c>
      <c r="D350" s="7">
        <v>12</v>
      </c>
      <c r="E350">
        <v>1</v>
      </c>
      <c r="F350" t="s">
        <v>1324</v>
      </c>
      <c r="G350" t="s">
        <v>46</v>
      </c>
    </row>
    <row r="351" spans="1:7" x14ac:dyDescent="0.35">
      <c r="A351" t="s">
        <v>1702</v>
      </c>
      <c r="B351" s="4" t="s">
        <v>311</v>
      </c>
      <c r="C351">
        <v>6</v>
      </c>
      <c r="D351" s="7">
        <v>10</v>
      </c>
      <c r="E351">
        <v>1</v>
      </c>
      <c r="F351" t="s">
        <v>1324</v>
      </c>
      <c r="G351" t="s">
        <v>46</v>
      </c>
    </row>
    <row r="352" spans="1:7" x14ac:dyDescent="0.35">
      <c r="A352" t="s">
        <v>1703</v>
      </c>
      <c r="B352" s="4" t="s">
        <v>311</v>
      </c>
      <c r="C352">
        <v>9</v>
      </c>
      <c r="D352" s="7">
        <v>12</v>
      </c>
      <c r="E352">
        <v>1</v>
      </c>
      <c r="F352" t="s">
        <v>1324</v>
      </c>
      <c r="G352" t="s">
        <v>46</v>
      </c>
    </row>
    <row r="353" spans="1:7" x14ac:dyDescent="0.35">
      <c r="A353" t="s">
        <v>1704</v>
      </c>
      <c r="B353" s="4" t="s">
        <v>320</v>
      </c>
      <c r="C353">
        <v>1</v>
      </c>
      <c r="D353" s="7">
        <v>10</v>
      </c>
      <c r="E353">
        <v>1</v>
      </c>
      <c r="F353" t="s">
        <v>1321</v>
      </c>
      <c r="G353" t="s">
        <v>46</v>
      </c>
    </row>
    <row r="354" spans="1:7" x14ac:dyDescent="0.35">
      <c r="A354" t="s">
        <v>1705</v>
      </c>
      <c r="B354" s="4" t="s">
        <v>320</v>
      </c>
      <c r="C354">
        <v>1</v>
      </c>
      <c r="D354" s="7">
        <v>4</v>
      </c>
      <c r="E354">
        <v>2</v>
      </c>
      <c r="F354" t="s">
        <v>1321</v>
      </c>
      <c r="G354" t="s">
        <v>54</v>
      </c>
    </row>
    <row r="355" spans="1:7" x14ac:dyDescent="0.35">
      <c r="A355" t="s">
        <v>1706</v>
      </c>
      <c r="B355" s="4" t="s">
        <v>320</v>
      </c>
      <c r="C355">
        <v>4</v>
      </c>
      <c r="D355" s="7">
        <v>13</v>
      </c>
      <c r="E355">
        <v>1</v>
      </c>
      <c r="F355" t="s">
        <v>1324</v>
      </c>
      <c r="G355" t="s">
        <v>46</v>
      </c>
    </row>
    <row r="356" spans="1:7" x14ac:dyDescent="0.35">
      <c r="A356" t="s">
        <v>1707</v>
      </c>
      <c r="B356" s="4" t="s">
        <v>320</v>
      </c>
      <c r="C356">
        <v>5</v>
      </c>
      <c r="D356" s="7">
        <v>13</v>
      </c>
      <c r="E356">
        <v>1</v>
      </c>
      <c r="F356" t="s">
        <v>1324</v>
      </c>
      <c r="G356" t="s">
        <v>46</v>
      </c>
    </row>
    <row r="357" spans="1:7" x14ac:dyDescent="0.35">
      <c r="A357" t="s">
        <v>1708</v>
      </c>
      <c r="B357" s="4" t="s">
        <v>320</v>
      </c>
      <c r="C357">
        <v>6</v>
      </c>
      <c r="D357" s="7">
        <v>14</v>
      </c>
      <c r="E357">
        <v>1</v>
      </c>
      <c r="F357" t="s">
        <v>1324</v>
      </c>
      <c r="G357" t="s">
        <v>46</v>
      </c>
    </row>
    <row r="358" spans="1:7" x14ac:dyDescent="0.35">
      <c r="A358" t="s">
        <v>1709</v>
      </c>
      <c r="B358" s="4" t="s">
        <v>320</v>
      </c>
      <c r="C358">
        <v>9</v>
      </c>
      <c r="D358" s="7">
        <v>9</v>
      </c>
      <c r="E358">
        <v>1</v>
      </c>
      <c r="F358" t="s">
        <v>1324</v>
      </c>
      <c r="G358" t="s">
        <v>46</v>
      </c>
    </row>
    <row r="359" spans="1:7" x14ac:dyDescent="0.35">
      <c r="A359" t="s">
        <v>1710</v>
      </c>
      <c r="B359" s="4" t="s">
        <v>329</v>
      </c>
      <c r="C359">
        <v>1</v>
      </c>
      <c r="D359" s="7">
        <v>13</v>
      </c>
      <c r="E359">
        <v>1</v>
      </c>
      <c r="F359" t="s">
        <v>1321</v>
      </c>
      <c r="G359" t="s">
        <v>46</v>
      </c>
    </row>
    <row r="360" spans="1:7" x14ac:dyDescent="0.35">
      <c r="A360" t="s">
        <v>1711</v>
      </c>
      <c r="B360" s="4" t="s">
        <v>329</v>
      </c>
      <c r="C360">
        <v>1</v>
      </c>
      <c r="D360" s="7">
        <v>5</v>
      </c>
      <c r="E360">
        <v>2</v>
      </c>
      <c r="F360" t="s">
        <v>1321</v>
      </c>
      <c r="G360" t="s">
        <v>54</v>
      </c>
    </row>
    <row r="361" spans="1:7" x14ac:dyDescent="0.35">
      <c r="A361" t="s">
        <v>1712</v>
      </c>
      <c r="B361" s="4" t="s">
        <v>329</v>
      </c>
      <c r="C361">
        <v>4</v>
      </c>
      <c r="D361" s="7">
        <v>8</v>
      </c>
      <c r="E361">
        <v>1</v>
      </c>
      <c r="F361" t="s">
        <v>1324</v>
      </c>
      <c r="G361" t="s">
        <v>46</v>
      </c>
    </row>
    <row r="362" spans="1:7" x14ac:dyDescent="0.35">
      <c r="A362" t="s">
        <v>1713</v>
      </c>
      <c r="B362" s="4" t="s">
        <v>329</v>
      </c>
      <c r="C362">
        <v>5</v>
      </c>
      <c r="D362" s="7">
        <v>14</v>
      </c>
      <c r="E362">
        <v>1</v>
      </c>
      <c r="F362" t="s">
        <v>1324</v>
      </c>
      <c r="G362" t="s">
        <v>46</v>
      </c>
    </row>
    <row r="363" spans="1:7" x14ac:dyDescent="0.35">
      <c r="A363" t="s">
        <v>1714</v>
      </c>
      <c r="B363" s="4" t="s">
        <v>329</v>
      </c>
      <c r="C363">
        <v>6</v>
      </c>
      <c r="D363" s="7">
        <v>8</v>
      </c>
      <c r="E363">
        <v>1</v>
      </c>
      <c r="F363" t="s">
        <v>1324</v>
      </c>
      <c r="G363" t="s">
        <v>46</v>
      </c>
    </row>
    <row r="364" spans="1:7" x14ac:dyDescent="0.35">
      <c r="A364" t="s">
        <v>1715</v>
      </c>
      <c r="B364" s="4" t="s">
        <v>329</v>
      </c>
      <c r="C364">
        <v>9</v>
      </c>
      <c r="D364" s="7">
        <v>11</v>
      </c>
      <c r="E364">
        <v>1</v>
      </c>
      <c r="F364" t="s">
        <v>1324</v>
      </c>
      <c r="G364" t="s">
        <v>46</v>
      </c>
    </row>
    <row r="365" spans="1:7" x14ac:dyDescent="0.35">
      <c r="A365" t="s">
        <v>1716</v>
      </c>
      <c r="B365" s="4" t="s">
        <v>336</v>
      </c>
      <c r="C365">
        <v>1</v>
      </c>
      <c r="D365" s="7">
        <v>4</v>
      </c>
      <c r="E365">
        <v>1</v>
      </c>
      <c r="F365" t="s">
        <v>1321</v>
      </c>
      <c r="G365" t="s">
        <v>46</v>
      </c>
    </row>
    <row r="366" spans="1:7" x14ac:dyDescent="0.35">
      <c r="A366" t="s">
        <v>1717</v>
      </c>
      <c r="B366" s="4" t="s">
        <v>336</v>
      </c>
      <c r="C366">
        <v>1</v>
      </c>
      <c r="D366" s="7">
        <v>2</v>
      </c>
      <c r="E366">
        <v>2</v>
      </c>
      <c r="F366" t="s">
        <v>1321</v>
      </c>
      <c r="G366" t="s">
        <v>54</v>
      </c>
    </row>
    <row r="367" spans="1:7" x14ac:dyDescent="0.35">
      <c r="A367" t="s">
        <v>1718</v>
      </c>
      <c r="B367" s="4" t="s">
        <v>336</v>
      </c>
      <c r="C367">
        <v>4</v>
      </c>
      <c r="D367" s="7">
        <v>6</v>
      </c>
      <c r="E367">
        <v>1</v>
      </c>
      <c r="F367" t="s">
        <v>1324</v>
      </c>
      <c r="G367" t="s">
        <v>46</v>
      </c>
    </row>
    <row r="368" spans="1:7" x14ac:dyDescent="0.35">
      <c r="A368" t="s">
        <v>1719</v>
      </c>
      <c r="B368" s="4" t="s">
        <v>336</v>
      </c>
      <c r="C368">
        <v>5</v>
      </c>
      <c r="D368" s="7">
        <v>6</v>
      </c>
      <c r="E368">
        <v>1</v>
      </c>
      <c r="F368" t="s">
        <v>1324</v>
      </c>
      <c r="G368" t="s">
        <v>46</v>
      </c>
    </row>
    <row r="369" spans="1:7" x14ac:dyDescent="0.35">
      <c r="A369" t="s">
        <v>1720</v>
      </c>
      <c r="B369" s="4" t="s">
        <v>336</v>
      </c>
      <c r="C369">
        <v>6</v>
      </c>
      <c r="D369" s="7">
        <v>4</v>
      </c>
      <c r="E369">
        <v>1</v>
      </c>
      <c r="F369" t="s">
        <v>1324</v>
      </c>
      <c r="G369" t="s">
        <v>46</v>
      </c>
    </row>
    <row r="370" spans="1:7" x14ac:dyDescent="0.35">
      <c r="A370" t="s">
        <v>1721</v>
      </c>
      <c r="B370" s="4" t="s">
        <v>336</v>
      </c>
      <c r="C370">
        <v>9</v>
      </c>
      <c r="D370" s="7">
        <v>6</v>
      </c>
      <c r="E370">
        <v>1</v>
      </c>
      <c r="F370" t="s">
        <v>1324</v>
      </c>
      <c r="G370" t="s">
        <v>46</v>
      </c>
    </row>
    <row r="371" spans="1:7" x14ac:dyDescent="0.35">
      <c r="A371" t="s">
        <v>1722</v>
      </c>
      <c r="B371" s="4" t="s">
        <v>339</v>
      </c>
      <c r="C371">
        <v>1</v>
      </c>
      <c r="D371" s="7">
        <v>4</v>
      </c>
      <c r="E371">
        <v>1</v>
      </c>
      <c r="F371" t="s">
        <v>1321</v>
      </c>
      <c r="G371" t="s">
        <v>46</v>
      </c>
    </row>
    <row r="372" spans="1:7" x14ac:dyDescent="0.35">
      <c r="A372" t="s">
        <v>1723</v>
      </c>
      <c r="B372" s="4" t="s">
        <v>339</v>
      </c>
      <c r="C372">
        <v>1</v>
      </c>
      <c r="D372" s="7">
        <v>1</v>
      </c>
      <c r="E372">
        <v>2</v>
      </c>
      <c r="F372" t="s">
        <v>1321</v>
      </c>
      <c r="G372" t="s">
        <v>54</v>
      </c>
    </row>
    <row r="373" spans="1:7" x14ac:dyDescent="0.35">
      <c r="A373" t="s">
        <v>1724</v>
      </c>
      <c r="B373" s="4" t="s">
        <v>339</v>
      </c>
      <c r="C373">
        <v>4</v>
      </c>
      <c r="D373" s="7">
        <v>5</v>
      </c>
      <c r="E373">
        <v>1</v>
      </c>
      <c r="F373" t="s">
        <v>1324</v>
      </c>
      <c r="G373" t="s">
        <v>46</v>
      </c>
    </row>
    <row r="374" spans="1:7" x14ac:dyDescent="0.35">
      <c r="A374" t="s">
        <v>1725</v>
      </c>
      <c r="B374" s="4" t="s">
        <v>339</v>
      </c>
      <c r="C374">
        <v>5</v>
      </c>
      <c r="D374" s="7">
        <v>7</v>
      </c>
      <c r="E374">
        <v>1</v>
      </c>
      <c r="F374" t="s">
        <v>1324</v>
      </c>
      <c r="G374" t="s">
        <v>46</v>
      </c>
    </row>
    <row r="375" spans="1:7" x14ac:dyDescent="0.35">
      <c r="A375" t="s">
        <v>1726</v>
      </c>
      <c r="B375" s="4" t="s">
        <v>339</v>
      </c>
      <c r="C375">
        <v>6</v>
      </c>
      <c r="D375" s="7">
        <v>7</v>
      </c>
      <c r="E375">
        <v>1</v>
      </c>
      <c r="F375" t="s">
        <v>1324</v>
      </c>
      <c r="G375" t="s">
        <v>46</v>
      </c>
    </row>
    <row r="376" spans="1:7" x14ac:dyDescent="0.35">
      <c r="A376" t="s">
        <v>1727</v>
      </c>
      <c r="B376" s="4" t="s">
        <v>339</v>
      </c>
      <c r="C376">
        <v>9</v>
      </c>
      <c r="D376" s="7">
        <v>5</v>
      </c>
      <c r="E376">
        <v>1</v>
      </c>
      <c r="F376" t="s">
        <v>1324</v>
      </c>
      <c r="G376" t="s">
        <v>46</v>
      </c>
    </row>
    <row r="377" spans="1:7" x14ac:dyDescent="0.35">
      <c r="A377" t="s">
        <v>1728</v>
      </c>
      <c r="B377" s="4" t="s">
        <v>1729</v>
      </c>
      <c r="C377">
        <v>1</v>
      </c>
      <c r="D377" s="7">
        <v>10</v>
      </c>
      <c r="E377">
        <v>1</v>
      </c>
      <c r="F377" t="s">
        <v>1321</v>
      </c>
      <c r="G377" t="s">
        <v>46</v>
      </c>
    </row>
    <row r="378" spans="1:7" x14ac:dyDescent="0.35">
      <c r="A378" t="s">
        <v>1730</v>
      </c>
      <c r="B378" s="4" t="s">
        <v>1729</v>
      </c>
      <c r="C378">
        <v>1</v>
      </c>
      <c r="D378" s="7">
        <v>3</v>
      </c>
      <c r="E378">
        <v>2</v>
      </c>
      <c r="F378" t="s">
        <v>1321</v>
      </c>
      <c r="G378" t="s">
        <v>54</v>
      </c>
    </row>
    <row r="379" spans="1:7" x14ac:dyDescent="0.35">
      <c r="A379" t="s">
        <v>1731</v>
      </c>
      <c r="B379" s="4" t="s">
        <v>1729</v>
      </c>
      <c r="C379">
        <v>4</v>
      </c>
      <c r="D379" s="7">
        <v>14</v>
      </c>
      <c r="E379">
        <v>1</v>
      </c>
      <c r="F379" t="s">
        <v>1324</v>
      </c>
      <c r="G379" t="s">
        <v>46</v>
      </c>
    </row>
    <row r="380" spans="1:7" x14ac:dyDescent="0.35">
      <c r="A380" t="s">
        <v>1732</v>
      </c>
      <c r="B380" s="4" t="s">
        <v>1729</v>
      </c>
      <c r="C380">
        <v>5</v>
      </c>
      <c r="D380" s="7">
        <v>13</v>
      </c>
      <c r="E380">
        <v>1</v>
      </c>
      <c r="F380" t="s">
        <v>1324</v>
      </c>
      <c r="G380" t="s">
        <v>46</v>
      </c>
    </row>
    <row r="381" spans="1:7" x14ac:dyDescent="0.35">
      <c r="A381" t="s">
        <v>1733</v>
      </c>
      <c r="B381" s="4" t="s">
        <v>1729</v>
      </c>
      <c r="C381">
        <v>6</v>
      </c>
      <c r="D381" s="7">
        <v>15</v>
      </c>
      <c r="E381">
        <v>1</v>
      </c>
      <c r="F381" t="s">
        <v>1324</v>
      </c>
      <c r="G381" t="s">
        <v>46</v>
      </c>
    </row>
    <row r="382" spans="1:7" x14ac:dyDescent="0.35">
      <c r="A382" t="s">
        <v>1734</v>
      </c>
      <c r="B382" s="4" t="s">
        <v>1729</v>
      </c>
      <c r="C382">
        <v>9</v>
      </c>
      <c r="D382" s="7">
        <v>15</v>
      </c>
      <c r="E382">
        <v>1</v>
      </c>
      <c r="F382" t="s">
        <v>1324</v>
      </c>
      <c r="G382" t="s">
        <v>46</v>
      </c>
    </row>
    <row r="383" spans="1:7" x14ac:dyDescent="0.35">
      <c r="A383" t="s">
        <v>1735</v>
      </c>
      <c r="B383" s="4" t="s">
        <v>344</v>
      </c>
      <c r="C383">
        <v>1</v>
      </c>
      <c r="D383" s="7">
        <v>9</v>
      </c>
      <c r="E383">
        <v>1</v>
      </c>
      <c r="F383" t="s">
        <v>1321</v>
      </c>
      <c r="G383" t="s">
        <v>46</v>
      </c>
    </row>
    <row r="384" spans="1:7" x14ac:dyDescent="0.35">
      <c r="A384" t="s">
        <v>1736</v>
      </c>
      <c r="B384" s="4" t="s">
        <v>344</v>
      </c>
      <c r="C384">
        <v>1</v>
      </c>
      <c r="D384" s="7">
        <v>4</v>
      </c>
      <c r="E384">
        <v>2</v>
      </c>
      <c r="F384" t="s">
        <v>1321</v>
      </c>
      <c r="G384" t="s">
        <v>54</v>
      </c>
    </row>
    <row r="385" spans="1:7" x14ac:dyDescent="0.35">
      <c r="A385" t="s">
        <v>1737</v>
      </c>
      <c r="B385" s="4" t="s">
        <v>344</v>
      </c>
      <c r="C385">
        <v>4</v>
      </c>
      <c r="D385" s="7">
        <v>12</v>
      </c>
      <c r="E385">
        <v>1</v>
      </c>
      <c r="F385" t="s">
        <v>1324</v>
      </c>
      <c r="G385" t="s">
        <v>46</v>
      </c>
    </row>
    <row r="386" spans="1:7" x14ac:dyDescent="0.35">
      <c r="A386" t="s">
        <v>1738</v>
      </c>
      <c r="B386" s="4" t="s">
        <v>344</v>
      </c>
      <c r="C386">
        <v>5</v>
      </c>
      <c r="D386" s="7">
        <v>13</v>
      </c>
      <c r="E386">
        <v>1</v>
      </c>
      <c r="F386" t="s">
        <v>1324</v>
      </c>
      <c r="G386" t="s">
        <v>46</v>
      </c>
    </row>
    <row r="387" spans="1:7" x14ac:dyDescent="0.35">
      <c r="A387" t="s">
        <v>1739</v>
      </c>
      <c r="B387" s="4" t="s">
        <v>344</v>
      </c>
      <c r="C387">
        <v>6</v>
      </c>
      <c r="D387" s="7">
        <v>9</v>
      </c>
      <c r="E387">
        <v>1</v>
      </c>
      <c r="F387" t="s">
        <v>1324</v>
      </c>
      <c r="G387" t="s">
        <v>46</v>
      </c>
    </row>
    <row r="388" spans="1:7" x14ac:dyDescent="0.35">
      <c r="A388" t="s">
        <v>1740</v>
      </c>
      <c r="B388" s="4" t="s">
        <v>344</v>
      </c>
      <c r="C388">
        <v>9</v>
      </c>
      <c r="D388" s="7">
        <v>11</v>
      </c>
      <c r="E388">
        <v>1</v>
      </c>
      <c r="F388" t="s">
        <v>1324</v>
      </c>
      <c r="G388" t="s">
        <v>46</v>
      </c>
    </row>
    <row r="389" spans="1:7" x14ac:dyDescent="0.35">
      <c r="A389" t="s">
        <v>1741</v>
      </c>
      <c r="B389" s="4" t="s">
        <v>352</v>
      </c>
      <c r="C389">
        <v>1</v>
      </c>
      <c r="D389" s="7">
        <v>9</v>
      </c>
      <c r="E389">
        <v>1</v>
      </c>
      <c r="F389" t="s">
        <v>1321</v>
      </c>
      <c r="G389" t="s">
        <v>46</v>
      </c>
    </row>
    <row r="390" spans="1:7" x14ac:dyDescent="0.35">
      <c r="A390" t="s">
        <v>1742</v>
      </c>
      <c r="B390" s="4" t="s">
        <v>352</v>
      </c>
      <c r="C390">
        <v>4</v>
      </c>
      <c r="D390" s="7">
        <v>11</v>
      </c>
      <c r="E390">
        <v>1</v>
      </c>
      <c r="F390" t="s">
        <v>1324</v>
      </c>
      <c r="G390" t="s">
        <v>46</v>
      </c>
    </row>
    <row r="391" spans="1:7" x14ac:dyDescent="0.35">
      <c r="A391" t="s">
        <v>1743</v>
      </c>
      <c r="B391" s="4" t="s">
        <v>352</v>
      </c>
      <c r="C391">
        <v>5</v>
      </c>
      <c r="D391" s="7">
        <v>15</v>
      </c>
      <c r="E391">
        <v>1</v>
      </c>
      <c r="F391" t="s">
        <v>1324</v>
      </c>
      <c r="G391" t="s">
        <v>46</v>
      </c>
    </row>
    <row r="392" spans="1:7" x14ac:dyDescent="0.35">
      <c r="A392" t="s">
        <v>1744</v>
      </c>
      <c r="B392" s="4" t="s">
        <v>352</v>
      </c>
      <c r="C392">
        <v>6</v>
      </c>
      <c r="D392" s="7">
        <v>9</v>
      </c>
      <c r="E392">
        <v>1</v>
      </c>
      <c r="F392" t="s">
        <v>1324</v>
      </c>
      <c r="G392" t="s">
        <v>46</v>
      </c>
    </row>
    <row r="393" spans="1:7" x14ac:dyDescent="0.35">
      <c r="A393" t="s">
        <v>1745</v>
      </c>
      <c r="B393" s="4" t="s">
        <v>352</v>
      </c>
      <c r="C393">
        <v>9</v>
      </c>
      <c r="D393" s="7">
        <v>15</v>
      </c>
      <c r="E393">
        <v>1</v>
      </c>
      <c r="F393" t="s">
        <v>1324</v>
      </c>
      <c r="G393" t="s">
        <v>46</v>
      </c>
    </row>
    <row r="394" spans="1:7" x14ac:dyDescent="0.35">
      <c r="A394" t="s">
        <v>1746</v>
      </c>
      <c r="B394" s="4" t="s">
        <v>1747</v>
      </c>
      <c r="C394">
        <v>1</v>
      </c>
      <c r="D394" s="7">
        <v>12</v>
      </c>
      <c r="E394">
        <v>1</v>
      </c>
      <c r="F394" t="s">
        <v>1321</v>
      </c>
      <c r="G394" t="s">
        <v>46</v>
      </c>
    </row>
    <row r="395" spans="1:7" x14ac:dyDescent="0.35">
      <c r="A395" t="s">
        <v>1748</v>
      </c>
      <c r="B395" s="4" t="s">
        <v>1747</v>
      </c>
      <c r="C395">
        <v>1</v>
      </c>
      <c r="D395" s="7">
        <v>6</v>
      </c>
      <c r="E395">
        <v>2</v>
      </c>
      <c r="F395" t="s">
        <v>1321</v>
      </c>
      <c r="G395" t="s">
        <v>54</v>
      </c>
    </row>
    <row r="396" spans="1:7" x14ac:dyDescent="0.35">
      <c r="A396" t="s">
        <v>1749</v>
      </c>
      <c r="B396" s="4" t="s">
        <v>1747</v>
      </c>
      <c r="C396">
        <v>4</v>
      </c>
      <c r="D396" s="7">
        <v>10</v>
      </c>
      <c r="E396">
        <v>1</v>
      </c>
      <c r="F396" t="s">
        <v>1324</v>
      </c>
      <c r="G396" t="s">
        <v>46</v>
      </c>
    </row>
    <row r="397" spans="1:7" x14ac:dyDescent="0.35">
      <c r="A397" t="s">
        <v>1750</v>
      </c>
      <c r="B397" s="4" t="s">
        <v>1747</v>
      </c>
      <c r="C397">
        <v>5</v>
      </c>
      <c r="D397" s="7">
        <v>8</v>
      </c>
      <c r="E397">
        <v>1</v>
      </c>
      <c r="F397" t="s">
        <v>1324</v>
      </c>
      <c r="G397" t="s">
        <v>46</v>
      </c>
    </row>
    <row r="398" spans="1:7" x14ac:dyDescent="0.35">
      <c r="A398" t="s">
        <v>1751</v>
      </c>
      <c r="B398" s="4" t="s">
        <v>1747</v>
      </c>
      <c r="C398">
        <v>6</v>
      </c>
      <c r="D398" s="7">
        <v>9</v>
      </c>
      <c r="E398">
        <v>1</v>
      </c>
      <c r="F398" t="s">
        <v>1324</v>
      </c>
      <c r="G398" t="s">
        <v>46</v>
      </c>
    </row>
    <row r="399" spans="1:7" x14ac:dyDescent="0.35">
      <c r="A399" t="s">
        <v>1752</v>
      </c>
      <c r="B399" s="4" t="s">
        <v>1747</v>
      </c>
      <c r="C399">
        <v>9</v>
      </c>
      <c r="D399" s="7">
        <v>14</v>
      </c>
      <c r="E399">
        <v>1</v>
      </c>
      <c r="F399" t="s">
        <v>1324</v>
      </c>
      <c r="G399" t="s">
        <v>46</v>
      </c>
    </row>
    <row r="400" spans="1:7" x14ac:dyDescent="0.35">
      <c r="A400" t="s">
        <v>1753</v>
      </c>
      <c r="B400" s="4" t="s">
        <v>355</v>
      </c>
      <c r="C400">
        <v>1</v>
      </c>
      <c r="D400" s="7">
        <v>12</v>
      </c>
      <c r="E400">
        <v>1</v>
      </c>
      <c r="F400" t="s">
        <v>1321</v>
      </c>
      <c r="G400" t="s">
        <v>46</v>
      </c>
    </row>
    <row r="401" spans="1:7" x14ac:dyDescent="0.35">
      <c r="A401" t="s">
        <v>1754</v>
      </c>
      <c r="B401" s="4" t="s">
        <v>355</v>
      </c>
      <c r="C401">
        <v>1</v>
      </c>
      <c r="D401" s="7">
        <v>4</v>
      </c>
      <c r="E401">
        <v>2</v>
      </c>
      <c r="F401" t="s">
        <v>1321</v>
      </c>
      <c r="G401" t="s">
        <v>54</v>
      </c>
    </row>
    <row r="402" spans="1:7" x14ac:dyDescent="0.35">
      <c r="A402" t="s">
        <v>1755</v>
      </c>
      <c r="B402" s="4" t="s">
        <v>355</v>
      </c>
      <c r="C402">
        <v>4</v>
      </c>
      <c r="D402" s="7">
        <v>9</v>
      </c>
      <c r="E402">
        <v>1</v>
      </c>
      <c r="F402" t="s">
        <v>1324</v>
      </c>
      <c r="G402" t="s">
        <v>46</v>
      </c>
    </row>
    <row r="403" spans="1:7" x14ac:dyDescent="0.35">
      <c r="A403" t="s">
        <v>1756</v>
      </c>
      <c r="B403" s="4" t="s">
        <v>355</v>
      </c>
      <c r="C403">
        <v>5</v>
      </c>
      <c r="D403" s="7">
        <v>15</v>
      </c>
      <c r="E403">
        <v>1</v>
      </c>
      <c r="F403" t="s">
        <v>1324</v>
      </c>
      <c r="G403" t="s">
        <v>46</v>
      </c>
    </row>
    <row r="404" spans="1:7" x14ac:dyDescent="0.35">
      <c r="A404" t="s">
        <v>1757</v>
      </c>
      <c r="B404" s="4" t="s">
        <v>355</v>
      </c>
      <c r="C404">
        <v>6</v>
      </c>
      <c r="D404" s="7">
        <v>10</v>
      </c>
      <c r="E404">
        <v>1</v>
      </c>
      <c r="F404" t="s">
        <v>1324</v>
      </c>
      <c r="G404" t="s">
        <v>46</v>
      </c>
    </row>
    <row r="405" spans="1:7" x14ac:dyDescent="0.35">
      <c r="A405" t="s">
        <v>1758</v>
      </c>
      <c r="B405" s="4" t="s">
        <v>355</v>
      </c>
      <c r="C405">
        <v>9</v>
      </c>
      <c r="D405" s="7">
        <v>15</v>
      </c>
      <c r="E405">
        <v>1</v>
      </c>
      <c r="F405" t="s">
        <v>1324</v>
      </c>
      <c r="G405" t="s">
        <v>46</v>
      </c>
    </row>
    <row r="406" spans="1:7" x14ac:dyDescent="0.35">
      <c r="A406" t="s">
        <v>1759</v>
      </c>
      <c r="B406" s="4" t="s">
        <v>361</v>
      </c>
      <c r="C406">
        <v>1</v>
      </c>
      <c r="D406" s="7">
        <v>4</v>
      </c>
      <c r="E406">
        <v>1</v>
      </c>
      <c r="F406" t="s">
        <v>1321</v>
      </c>
      <c r="G406" t="s">
        <v>46</v>
      </c>
    </row>
    <row r="407" spans="1:7" x14ac:dyDescent="0.35">
      <c r="A407" t="s">
        <v>1760</v>
      </c>
      <c r="B407" s="4" t="s">
        <v>361</v>
      </c>
      <c r="C407">
        <v>1</v>
      </c>
      <c r="D407" s="7">
        <v>1</v>
      </c>
      <c r="E407">
        <v>2</v>
      </c>
      <c r="F407" t="s">
        <v>1321</v>
      </c>
      <c r="G407" t="s">
        <v>54</v>
      </c>
    </row>
    <row r="408" spans="1:7" x14ac:dyDescent="0.35">
      <c r="A408" t="s">
        <v>1761</v>
      </c>
      <c r="B408" s="4" t="s">
        <v>361</v>
      </c>
      <c r="C408">
        <v>4</v>
      </c>
      <c r="D408" s="7">
        <v>7</v>
      </c>
      <c r="E408">
        <v>1</v>
      </c>
      <c r="F408" t="s">
        <v>1324</v>
      </c>
      <c r="G408" t="s">
        <v>46</v>
      </c>
    </row>
    <row r="409" spans="1:7" x14ac:dyDescent="0.35">
      <c r="A409" t="s">
        <v>1762</v>
      </c>
      <c r="B409" s="4" t="s">
        <v>361</v>
      </c>
      <c r="C409">
        <v>5</v>
      </c>
      <c r="D409" s="7">
        <v>7</v>
      </c>
      <c r="E409">
        <v>1</v>
      </c>
      <c r="F409" t="s">
        <v>1324</v>
      </c>
      <c r="G409" t="s">
        <v>46</v>
      </c>
    </row>
    <row r="410" spans="1:7" x14ac:dyDescent="0.35">
      <c r="A410" t="s">
        <v>1763</v>
      </c>
      <c r="B410" s="4" t="s">
        <v>361</v>
      </c>
      <c r="C410">
        <v>6</v>
      </c>
      <c r="D410" s="7">
        <v>5</v>
      </c>
      <c r="E410">
        <v>1</v>
      </c>
      <c r="F410" t="s">
        <v>1324</v>
      </c>
      <c r="G410" t="s">
        <v>46</v>
      </c>
    </row>
    <row r="411" spans="1:7" x14ac:dyDescent="0.35">
      <c r="A411" t="s">
        <v>1764</v>
      </c>
      <c r="B411" s="4" t="s">
        <v>361</v>
      </c>
      <c r="C411">
        <v>9</v>
      </c>
      <c r="D411" s="7">
        <v>7</v>
      </c>
      <c r="E411">
        <v>1</v>
      </c>
      <c r="F411" t="s">
        <v>1324</v>
      </c>
      <c r="G411" t="s">
        <v>46</v>
      </c>
    </row>
    <row r="412" spans="1:7" x14ac:dyDescent="0.35">
      <c r="A412" t="s">
        <v>1765</v>
      </c>
      <c r="B412" s="4" t="s">
        <v>365</v>
      </c>
      <c r="C412">
        <v>1</v>
      </c>
      <c r="D412" s="7">
        <v>3</v>
      </c>
      <c r="E412">
        <v>1</v>
      </c>
      <c r="F412" t="s">
        <v>1321</v>
      </c>
      <c r="G412" t="s">
        <v>46</v>
      </c>
    </row>
    <row r="413" spans="1:7" x14ac:dyDescent="0.35">
      <c r="A413" t="s">
        <v>1766</v>
      </c>
      <c r="B413" s="4" t="s">
        <v>365</v>
      </c>
      <c r="C413">
        <v>4</v>
      </c>
      <c r="D413" s="7">
        <v>7</v>
      </c>
      <c r="E413">
        <v>1</v>
      </c>
      <c r="F413" t="s">
        <v>1324</v>
      </c>
      <c r="G413" t="s">
        <v>46</v>
      </c>
    </row>
    <row r="414" spans="1:7" x14ac:dyDescent="0.35">
      <c r="A414" t="s">
        <v>1767</v>
      </c>
      <c r="B414" s="4" t="s">
        <v>365</v>
      </c>
      <c r="C414">
        <v>5</v>
      </c>
      <c r="D414" s="7">
        <v>5</v>
      </c>
      <c r="E414">
        <v>1</v>
      </c>
      <c r="F414" t="s">
        <v>1324</v>
      </c>
      <c r="G414" t="s">
        <v>46</v>
      </c>
    </row>
    <row r="415" spans="1:7" x14ac:dyDescent="0.35">
      <c r="A415" t="s">
        <v>1768</v>
      </c>
      <c r="B415" s="4" t="s">
        <v>365</v>
      </c>
      <c r="C415">
        <v>6</v>
      </c>
      <c r="D415" s="7">
        <v>6</v>
      </c>
      <c r="E415">
        <v>1</v>
      </c>
      <c r="F415" t="s">
        <v>1324</v>
      </c>
      <c r="G415" t="s">
        <v>46</v>
      </c>
    </row>
    <row r="416" spans="1:7" x14ac:dyDescent="0.35">
      <c r="A416" t="s">
        <v>1769</v>
      </c>
      <c r="B416" s="4" t="s">
        <v>365</v>
      </c>
      <c r="C416">
        <v>9</v>
      </c>
      <c r="D416" s="7">
        <v>7</v>
      </c>
      <c r="E416">
        <v>1</v>
      </c>
      <c r="F416" t="s">
        <v>1324</v>
      </c>
      <c r="G416" t="s">
        <v>46</v>
      </c>
    </row>
    <row r="417" spans="1:7" x14ac:dyDescent="0.35">
      <c r="A417" t="s">
        <v>1770</v>
      </c>
      <c r="B417" s="4" t="s">
        <v>367</v>
      </c>
      <c r="C417">
        <v>1</v>
      </c>
      <c r="D417" s="7">
        <v>10</v>
      </c>
      <c r="E417">
        <v>1</v>
      </c>
      <c r="F417" t="s">
        <v>1321</v>
      </c>
      <c r="G417" t="s">
        <v>46</v>
      </c>
    </row>
    <row r="418" spans="1:7" x14ac:dyDescent="0.35">
      <c r="A418" t="s">
        <v>1771</v>
      </c>
      <c r="B418" s="4" t="s">
        <v>367</v>
      </c>
      <c r="C418">
        <v>1</v>
      </c>
      <c r="D418" s="7">
        <v>5</v>
      </c>
      <c r="E418">
        <v>2</v>
      </c>
      <c r="F418" t="s">
        <v>1321</v>
      </c>
      <c r="G418" t="s">
        <v>54</v>
      </c>
    </row>
    <row r="419" spans="1:7" x14ac:dyDescent="0.35">
      <c r="A419" t="s">
        <v>1772</v>
      </c>
      <c r="B419" s="4" t="s">
        <v>367</v>
      </c>
      <c r="C419">
        <v>4</v>
      </c>
      <c r="D419" s="7">
        <v>9</v>
      </c>
      <c r="E419">
        <v>1</v>
      </c>
      <c r="F419" t="s">
        <v>1324</v>
      </c>
      <c r="G419" t="s">
        <v>46</v>
      </c>
    </row>
    <row r="420" spans="1:7" x14ac:dyDescent="0.35">
      <c r="A420" t="s">
        <v>1773</v>
      </c>
      <c r="B420" s="4" t="s">
        <v>367</v>
      </c>
      <c r="C420">
        <v>5</v>
      </c>
      <c r="D420" s="7">
        <v>10</v>
      </c>
      <c r="E420">
        <v>1</v>
      </c>
      <c r="F420" t="s">
        <v>1324</v>
      </c>
      <c r="G420" t="s">
        <v>46</v>
      </c>
    </row>
    <row r="421" spans="1:7" x14ac:dyDescent="0.35">
      <c r="A421" t="s">
        <v>1774</v>
      </c>
      <c r="B421" s="4" t="s">
        <v>367</v>
      </c>
      <c r="C421">
        <v>6</v>
      </c>
      <c r="D421" s="7">
        <v>10</v>
      </c>
      <c r="E421">
        <v>1</v>
      </c>
      <c r="F421" t="s">
        <v>1324</v>
      </c>
      <c r="G421" t="s">
        <v>46</v>
      </c>
    </row>
    <row r="422" spans="1:7" x14ac:dyDescent="0.35">
      <c r="A422" t="s">
        <v>1775</v>
      </c>
      <c r="B422" s="4" t="s">
        <v>367</v>
      </c>
      <c r="C422">
        <v>9</v>
      </c>
      <c r="D422" s="7">
        <v>11</v>
      </c>
      <c r="E422">
        <v>1</v>
      </c>
      <c r="F422" t="s">
        <v>1324</v>
      </c>
      <c r="G422" t="s">
        <v>46</v>
      </c>
    </row>
    <row r="423" spans="1:7" x14ac:dyDescent="0.35">
      <c r="A423" t="s">
        <v>1776</v>
      </c>
      <c r="B423" s="4" t="s">
        <v>377</v>
      </c>
      <c r="C423">
        <v>1</v>
      </c>
      <c r="D423" s="7">
        <v>9</v>
      </c>
      <c r="E423">
        <v>1</v>
      </c>
      <c r="F423" t="s">
        <v>1321</v>
      </c>
      <c r="G423" t="s">
        <v>46</v>
      </c>
    </row>
    <row r="424" spans="1:7" x14ac:dyDescent="0.35">
      <c r="A424" t="s">
        <v>1777</v>
      </c>
      <c r="B424" s="4" t="s">
        <v>377</v>
      </c>
      <c r="C424">
        <v>4</v>
      </c>
      <c r="D424" s="7">
        <v>13</v>
      </c>
      <c r="E424">
        <v>1</v>
      </c>
      <c r="F424" t="s">
        <v>1324</v>
      </c>
      <c r="G424" t="s">
        <v>46</v>
      </c>
    </row>
    <row r="425" spans="1:7" x14ac:dyDescent="0.35">
      <c r="A425" t="s">
        <v>1778</v>
      </c>
      <c r="B425" s="4" t="s">
        <v>377</v>
      </c>
      <c r="C425">
        <v>5</v>
      </c>
      <c r="D425" s="7">
        <v>15</v>
      </c>
      <c r="E425">
        <v>1</v>
      </c>
      <c r="F425" t="s">
        <v>1324</v>
      </c>
      <c r="G425" t="s">
        <v>46</v>
      </c>
    </row>
    <row r="426" spans="1:7" x14ac:dyDescent="0.35">
      <c r="A426" t="s">
        <v>1779</v>
      </c>
      <c r="B426" s="4" t="s">
        <v>377</v>
      </c>
      <c r="C426">
        <v>6</v>
      </c>
      <c r="D426" s="7">
        <v>14</v>
      </c>
      <c r="E426">
        <v>1</v>
      </c>
      <c r="F426" t="s">
        <v>1324</v>
      </c>
      <c r="G426" t="s">
        <v>46</v>
      </c>
    </row>
    <row r="427" spans="1:7" x14ac:dyDescent="0.35">
      <c r="A427" t="s">
        <v>1780</v>
      </c>
      <c r="B427" s="4" t="s">
        <v>377</v>
      </c>
      <c r="C427">
        <v>9</v>
      </c>
      <c r="D427" s="7">
        <v>8</v>
      </c>
      <c r="E427">
        <v>1</v>
      </c>
      <c r="F427" t="s">
        <v>1324</v>
      </c>
      <c r="G427" t="s">
        <v>46</v>
      </c>
    </row>
    <row r="428" spans="1:7" x14ac:dyDescent="0.35">
      <c r="A428" t="s">
        <v>1781</v>
      </c>
      <c r="B428" s="4" t="s">
        <v>383</v>
      </c>
      <c r="C428">
        <v>1</v>
      </c>
      <c r="D428" s="7">
        <v>11</v>
      </c>
      <c r="E428">
        <v>1</v>
      </c>
      <c r="F428" t="s">
        <v>1321</v>
      </c>
      <c r="G428" t="s">
        <v>46</v>
      </c>
    </row>
    <row r="429" spans="1:7" x14ac:dyDescent="0.35">
      <c r="A429" t="s">
        <v>1782</v>
      </c>
      <c r="B429" s="4" t="s">
        <v>383</v>
      </c>
      <c r="C429">
        <v>1</v>
      </c>
      <c r="D429" s="7">
        <v>3</v>
      </c>
      <c r="E429">
        <v>2</v>
      </c>
      <c r="F429" t="s">
        <v>1321</v>
      </c>
      <c r="G429" t="s">
        <v>54</v>
      </c>
    </row>
    <row r="430" spans="1:7" x14ac:dyDescent="0.35">
      <c r="A430" t="s">
        <v>1783</v>
      </c>
      <c r="B430" s="4" t="s">
        <v>383</v>
      </c>
      <c r="C430">
        <v>4</v>
      </c>
      <c r="D430" s="7">
        <v>14</v>
      </c>
      <c r="E430">
        <v>1</v>
      </c>
      <c r="F430" t="s">
        <v>1324</v>
      </c>
      <c r="G430" t="s">
        <v>46</v>
      </c>
    </row>
    <row r="431" spans="1:7" x14ac:dyDescent="0.35">
      <c r="A431" t="s">
        <v>1784</v>
      </c>
      <c r="B431" s="4" t="s">
        <v>383</v>
      </c>
      <c r="C431">
        <v>5</v>
      </c>
      <c r="D431" s="7">
        <v>15</v>
      </c>
      <c r="E431">
        <v>1</v>
      </c>
      <c r="F431" t="s">
        <v>1324</v>
      </c>
      <c r="G431" t="s">
        <v>46</v>
      </c>
    </row>
    <row r="432" spans="1:7" x14ac:dyDescent="0.35">
      <c r="A432" t="s">
        <v>1785</v>
      </c>
      <c r="B432" s="4" t="s">
        <v>383</v>
      </c>
      <c r="C432">
        <v>6</v>
      </c>
      <c r="D432" s="7">
        <v>8</v>
      </c>
      <c r="E432">
        <v>1</v>
      </c>
      <c r="F432" t="s">
        <v>1324</v>
      </c>
      <c r="G432" t="s">
        <v>46</v>
      </c>
    </row>
    <row r="433" spans="1:7" x14ac:dyDescent="0.35">
      <c r="A433" t="s">
        <v>1786</v>
      </c>
      <c r="B433" s="4" t="s">
        <v>383</v>
      </c>
      <c r="C433">
        <v>9</v>
      </c>
      <c r="D433" s="7">
        <v>13</v>
      </c>
      <c r="E433">
        <v>1</v>
      </c>
      <c r="F433" t="s">
        <v>1324</v>
      </c>
      <c r="G433" t="s">
        <v>46</v>
      </c>
    </row>
    <row r="434" spans="1:7" x14ac:dyDescent="0.35">
      <c r="A434" t="s">
        <v>1787</v>
      </c>
      <c r="B434" s="4" t="s">
        <v>388</v>
      </c>
      <c r="C434">
        <v>1</v>
      </c>
      <c r="D434" s="7">
        <v>11</v>
      </c>
      <c r="E434">
        <v>1</v>
      </c>
      <c r="F434" t="s">
        <v>1321</v>
      </c>
      <c r="G434" t="s">
        <v>46</v>
      </c>
    </row>
    <row r="435" spans="1:7" x14ac:dyDescent="0.35">
      <c r="A435" t="s">
        <v>1788</v>
      </c>
      <c r="B435" s="4" t="s">
        <v>388</v>
      </c>
      <c r="C435">
        <v>4</v>
      </c>
      <c r="D435" s="7">
        <v>14</v>
      </c>
      <c r="E435">
        <v>1</v>
      </c>
      <c r="F435" t="s">
        <v>1324</v>
      </c>
      <c r="G435" t="s">
        <v>46</v>
      </c>
    </row>
    <row r="436" spans="1:7" x14ac:dyDescent="0.35">
      <c r="A436" t="s">
        <v>1789</v>
      </c>
      <c r="B436" s="4" t="s">
        <v>388</v>
      </c>
      <c r="C436">
        <v>5</v>
      </c>
      <c r="D436" s="7">
        <v>11</v>
      </c>
      <c r="E436">
        <v>1</v>
      </c>
      <c r="F436" t="s">
        <v>1324</v>
      </c>
      <c r="G436" t="s">
        <v>46</v>
      </c>
    </row>
    <row r="437" spans="1:7" x14ac:dyDescent="0.35">
      <c r="A437" t="s">
        <v>1790</v>
      </c>
      <c r="B437" s="4" t="s">
        <v>388</v>
      </c>
      <c r="C437">
        <v>6</v>
      </c>
      <c r="D437" s="7">
        <v>15</v>
      </c>
      <c r="E437">
        <v>1</v>
      </c>
      <c r="F437" t="s">
        <v>1324</v>
      </c>
      <c r="G437" t="s">
        <v>46</v>
      </c>
    </row>
    <row r="438" spans="1:7" x14ac:dyDescent="0.35">
      <c r="A438" t="s">
        <v>1791</v>
      </c>
      <c r="B438" s="4" t="s">
        <v>388</v>
      </c>
      <c r="C438">
        <v>9</v>
      </c>
      <c r="D438" s="7">
        <v>11</v>
      </c>
      <c r="E438">
        <v>1</v>
      </c>
      <c r="F438" t="s">
        <v>1324</v>
      </c>
      <c r="G438" t="s">
        <v>46</v>
      </c>
    </row>
    <row r="439" spans="1:7" x14ac:dyDescent="0.35">
      <c r="A439" t="s">
        <v>1792</v>
      </c>
      <c r="B439" s="4" t="s">
        <v>390</v>
      </c>
      <c r="C439">
        <v>1</v>
      </c>
      <c r="D439" s="7">
        <v>11</v>
      </c>
      <c r="E439">
        <v>1</v>
      </c>
      <c r="F439" t="s">
        <v>1321</v>
      </c>
      <c r="G439" t="s">
        <v>46</v>
      </c>
    </row>
    <row r="440" spans="1:7" x14ac:dyDescent="0.35">
      <c r="A440" t="s">
        <v>1793</v>
      </c>
      <c r="B440" s="4" t="s">
        <v>390</v>
      </c>
      <c r="C440">
        <v>1</v>
      </c>
      <c r="D440" s="7">
        <v>5</v>
      </c>
      <c r="E440">
        <v>2</v>
      </c>
      <c r="F440" t="s">
        <v>1321</v>
      </c>
      <c r="G440" t="s">
        <v>54</v>
      </c>
    </row>
    <row r="441" spans="1:7" x14ac:dyDescent="0.35">
      <c r="A441" t="s">
        <v>1794</v>
      </c>
      <c r="B441" s="4" t="s">
        <v>390</v>
      </c>
      <c r="C441">
        <v>4</v>
      </c>
      <c r="D441" s="7">
        <v>14</v>
      </c>
      <c r="E441">
        <v>1</v>
      </c>
      <c r="F441" t="s">
        <v>1324</v>
      </c>
      <c r="G441" t="s">
        <v>46</v>
      </c>
    </row>
    <row r="442" spans="1:7" x14ac:dyDescent="0.35">
      <c r="A442" t="s">
        <v>1795</v>
      </c>
      <c r="B442" s="4" t="s">
        <v>390</v>
      </c>
      <c r="C442">
        <v>5</v>
      </c>
      <c r="D442" s="7">
        <v>10</v>
      </c>
      <c r="E442">
        <v>1</v>
      </c>
      <c r="F442" t="s">
        <v>1324</v>
      </c>
      <c r="G442" t="s">
        <v>46</v>
      </c>
    </row>
    <row r="443" spans="1:7" x14ac:dyDescent="0.35">
      <c r="A443" t="s">
        <v>1796</v>
      </c>
      <c r="B443" s="4" t="s">
        <v>390</v>
      </c>
      <c r="C443">
        <v>6</v>
      </c>
      <c r="D443" s="7">
        <v>15</v>
      </c>
      <c r="E443">
        <v>1</v>
      </c>
      <c r="F443" t="s">
        <v>1324</v>
      </c>
      <c r="G443" t="s">
        <v>46</v>
      </c>
    </row>
    <row r="444" spans="1:7" x14ac:dyDescent="0.35">
      <c r="A444" t="s">
        <v>1797</v>
      </c>
      <c r="B444" s="4" t="s">
        <v>390</v>
      </c>
      <c r="C444">
        <v>9</v>
      </c>
      <c r="D444" s="7">
        <v>10</v>
      </c>
      <c r="E444">
        <v>1</v>
      </c>
      <c r="F444" t="s">
        <v>1324</v>
      </c>
      <c r="G444" t="s">
        <v>46</v>
      </c>
    </row>
    <row r="445" spans="1:7" x14ac:dyDescent="0.35">
      <c r="A445" t="s">
        <v>1798</v>
      </c>
      <c r="B445" s="4" t="s">
        <v>398</v>
      </c>
      <c r="C445">
        <v>1</v>
      </c>
      <c r="D445" s="7">
        <v>1</v>
      </c>
      <c r="E445">
        <v>2</v>
      </c>
      <c r="F445" t="s">
        <v>1321</v>
      </c>
      <c r="G445" t="s">
        <v>54</v>
      </c>
    </row>
    <row r="446" spans="1:7" x14ac:dyDescent="0.35">
      <c r="A446" t="s">
        <v>1799</v>
      </c>
      <c r="B446" s="4" t="s">
        <v>398</v>
      </c>
      <c r="C446">
        <v>4</v>
      </c>
      <c r="D446" s="7">
        <v>4</v>
      </c>
      <c r="E446">
        <v>1</v>
      </c>
      <c r="F446" t="s">
        <v>1324</v>
      </c>
      <c r="G446" t="s">
        <v>46</v>
      </c>
    </row>
    <row r="447" spans="1:7" x14ac:dyDescent="0.35">
      <c r="A447" t="s">
        <v>1800</v>
      </c>
      <c r="B447" s="4" t="s">
        <v>398</v>
      </c>
      <c r="C447">
        <v>5</v>
      </c>
      <c r="D447" s="7">
        <v>4</v>
      </c>
      <c r="E447">
        <v>1</v>
      </c>
      <c r="F447" t="s">
        <v>1324</v>
      </c>
      <c r="G447" t="s">
        <v>46</v>
      </c>
    </row>
    <row r="448" spans="1:7" x14ac:dyDescent="0.35">
      <c r="A448" t="s">
        <v>1801</v>
      </c>
      <c r="B448" s="4" t="s">
        <v>398</v>
      </c>
      <c r="C448">
        <v>6</v>
      </c>
      <c r="D448" s="7">
        <v>7</v>
      </c>
      <c r="E448">
        <v>1</v>
      </c>
      <c r="F448" t="s">
        <v>1324</v>
      </c>
      <c r="G448" t="s">
        <v>46</v>
      </c>
    </row>
    <row r="449" spans="1:7" x14ac:dyDescent="0.35">
      <c r="A449" t="s">
        <v>1802</v>
      </c>
      <c r="B449" s="4" t="s">
        <v>398</v>
      </c>
      <c r="C449">
        <v>9</v>
      </c>
      <c r="D449" s="7">
        <v>5</v>
      </c>
      <c r="E449">
        <v>1</v>
      </c>
      <c r="F449" t="s">
        <v>1324</v>
      </c>
      <c r="G449" t="s">
        <v>46</v>
      </c>
    </row>
    <row r="450" spans="1:7" x14ac:dyDescent="0.35">
      <c r="A450" t="s">
        <v>1803</v>
      </c>
      <c r="B450" s="4" t="s">
        <v>401</v>
      </c>
      <c r="C450">
        <v>1</v>
      </c>
      <c r="D450" s="7">
        <v>1</v>
      </c>
      <c r="E450">
        <v>2</v>
      </c>
      <c r="F450" t="s">
        <v>1321</v>
      </c>
      <c r="G450" t="s">
        <v>54</v>
      </c>
    </row>
    <row r="451" spans="1:7" x14ac:dyDescent="0.35">
      <c r="A451" t="s">
        <v>1804</v>
      </c>
      <c r="B451" s="4" t="s">
        <v>401</v>
      </c>
      <c r="C451">
        <v>4</v>
      </c>
      <c r="D451" s="7">
        <v>7</v>
      </c>
      <c r="E451">
        <v>1</v>
      </c>
      <c r="F451" t="s">
        <v>1324</v>
      </c>
      <c r="G451" t="s">
        <v>46</v>
      </c>
    </row>
    <row r="452" spans="1:7" x14ac:dyDescent="0.35">
      <c r="A452" t="s">
        <v>1805</v>
      </c>
      <c r="B452" s="4" t="s">
        <v>401</v>
      </c>
      <c r="C452">
        <v>5</v>
      </c>
      <c r="D452" s="7">
        <v>6</v>
      </c>
      <c r="E452">
        <v>1</v>
      </c>
      <c r="F452" t="s">
        <v>1324</v>
      </c>
      <c r="G452" t="s">
        <v>46</v>
      </c>
    </row>
    <row r="453" spans="1:7" x14ac:dyDescent="0.35">
      <c r="A453" t="s">
        <v>1806</v>
      </c>
      <c r="B453" s="4" t="s">
        <v>401</v>
      </c>
      <c r="C453">
        <v>6</v>
      </c>
      <c r="D453" s="7">
        <v>6</v>
      </c>
      <c r="E453">
        <v>1</v>
      </c>
      <c r="F453" t="s">
        <v>1324</v>
      </c>
      <c r="G453" t="s">
        <v>46</v>
      </c>
    </row>
    <row r="454" spans="1:7" x14ac:dyDescent="0.35">
      <c r="A454" t="s">
        <v>1807</v>
      </c>
      <c r="B454" s="4" t="s">
        <v>401</v>
      </c>
      <c r="C454">
        <v>9</v>
      </c>
      <c r="D454" s="7">
        <v>7</v>
      </c>
      <c r="E454">
        <v>1</v>
      </c>
      <c r="F454" t="s">
        <v>1324</v>
      </c>
      <c r="G454" t="s">
        <v>46</v>
      </c>
    </row>
    <row r="455" spans="1:7" x14ac:dyDescent="0.35">
      <c r="A455" t="s">
        <v>1808</v>
      </c>
      <c r="B455" s="4" t="s">
        <v>404</v>
      </c>
      <c r="C455">
        <v>1</v>
      </c>
      <c r="D455" s="7">
        <v>11</v>
      </c>
      <c r="E455">
        <v>1</v>
      </c>
      <c r="F455" t="s">
        <v>1321</v>
      </c>
      <c r="G455" t="s">
        <v>46</v>
      </c>
    </row>
    <row r="456" spans="1:7" x14ac:dyDescent="0.35">
      <c r="A456" t="s">
        <v>1809</v>
      </c>
      <c r="B456" s="4" t="s">
        <v>404</v>
      </c>
      <c r="C456">
        <v>1</v>
      </c>
      <c r="D456" s="7">
        <v>3</v>
      </c>
      <c r="E456">
        <v>2</v>
      </c>
      <c r="F456" t="s">
        <v>1321</v>
      </c>
      <c r="G456" t="s">
        <v>54</v>
      </c>
    </row>
    <row r="457" spans="1:7" x14ac:dyDescent="0.35">
      <c r="A457" t="s">
        <v>1810</v>
      </c>
      <c r="B457" s="4" t="s">
        <v>404</v>
      </c>
      <c r="C457">
        <v>4</v>
      </c>
      <c r="D457" s="7">
        <v>8</v>
      </c>
      <c r="E457">
        <v>1</v>
      </c>
      <c r="F457" t="s">
        <v>1324</v>
      </c>
      <c r="G457" t="s">
        <v>46</v>
      </c>
    </row>
    <row r="458" spans="1:7" x14ac:dyDescent="0.35">
      <c r="A458" t="s">
        <v>1811</v>
      </c>
      <c r="B458" s="4" t="s">
        <v>404</v>
      </c>
      <c r="C458">
        <v>5</v>
      </c>
      <c r="D458" s="7">
        <v>13</v>
      </c>
      <c r="E458">
        <v>1</v>
      </c>
      <c r="F458" t="s">
        <v>1324</v>
      </c>
      <c r="G458" t="s">
        <v>46</v>
      </c>
    </row>
    <row r="459" spans="1:7" x14ac:dyDescent="0.35">
      <c r="A459" t="s">
        <v>1812</v>
      </c>
      <c r="B459" s="4" t="s">
        <v>404</v>
      </c>
      <c r="C459">
        <v>6</v>
      </c>
      <c r="D459" s="7">
        <v>11</v>
      </c>
      <c r="E459">
        <v>1</v>
      </c>
      <c r="F459" t="s">
        <v>1324</v>
      </c>
      <c r="G459" t="s">
        <v>46</v>
      </c>
    </row>
    <row r="460" spans="1:7" x14ac:dyDescent="0.35">
      <c r="A460" t="s">
        <v>1813</v>
      </c>
      <c r="B460" s="4" t="s">
        <v>404</v>
      </c>
      <c r="C460">
        <v>9</v>
      </c>
      <c r="D460" s="7">
        <v>9</v>
      </c>
      <c r="E460">
        <v>1</v>
      </c>
      <c r="F460" t="s">
        <v>1324</v>
      </c>
      <c r="G460" t="s">
        <v>46</v>
      </c>
    </row>
    <row r="461" spans="1:7" x14ac:dyDescent="0.35">
      <c r="A461" t="s">
        <v>1814</v>
      </c>
      <c r="B461" s="4" t="s">
        <v>406</v>
      </c>
      <c r="C461">
        <v>1</v>
      </c>
      <c r="D461" s="7">
        <v>8</v>
      </c>
      <c r="E461">
        <v>1</v>
      </c>
      <c r="F461" t="s">
        <v>1321</v>
      </c>
      <c r="G461" t="s">
        <v>46</v>
      </c>
    </row>
    <row r="462" spans="1:7" x14ac:dyDescent="0.35">
      <c r="A462" t="s">
        <v>1815</v>
      </c>
      <c r="B462" s="4" t="s">
        <v>406</v>
      </c>
      <c r="C462">
        <v>4</v>
      </c>
      <c r="D462" s="7">
        <v>11</v>
      </c>
      <c r="E462">
        <v>1</v>
      </c>
      <c r="F462" t="s">
        <v>1324</v>
      </c>
      <c r="G462" t="s">
        <v>46</v>
      </c>
    </row>
    <row r="463" spans="1:7" x14ac:dyDescent="0.35">
      <c r="A463" t="s">
        <v>1816</v>
      </c>
      <c r="B463" s="4" t="s">
        <v>406</v>
      </c>
      <c r="C463">
        <v>5</v>
      </c>
      <c r="D463" s="7">
        <v>8</v>
      </c>
      <c r="E463">
        <v>1</v>
      </c>
      <c r="F463" t="s">
        <v>1324</v>
      </c>
      <c r="G463" t="s">
        <v>46</v>
      </c>
    </row>
    <row r="464" spans="1:7" x14ac:dyDescent="0.35">
      <c r="A464" t="s">
        <v>1817</v>
      </c>
      <c r="B464" s="4" t="s">
        <v>406</v>
      </c>
      <c r="C464">
        <v>6</v>
      </c>
      <c r="D464" s="7">
        <v>10</v>
      </c>
      <c r="E464">
        <v>1</v>
      </c>
      <c r="F464" t="s">
        <v>1324</v>
      </c>
      <c r="G464" t="s">
        <v>46</v>
      </c>
    </row>
    <row r="465" spans="1:7" x14ac:dyDescent="0.35">
      <c r="A465" t="s">
        <v>1818</v>
      </c>
      <c r="B465" s="4" t="s">
        <v>406</v>
      </c>
      <c r="C465">
        <v>9</v>
      </c>
      <c r="D465" s="7">
        <v>11</v>
      </c>
      <c r="E465">
        <v>1</v>
      </c>
      <c r="F465" t="s">
        <v>1324</v>
      </c>
      <c r="G465" t="s">
        <v>46</v>
      </c>
    </row>
    <row r="466" spans="1:7" x14ac:dyDescent="0.35">
      <c r="A466" t="s">
        <v>1819</v>
      </c>
      <c r="B466" s="4" t="s">
        <v>412</v>
      </c>
      <c r="C466">
        <v>1</v>
      </c>
      <c r="D466" s="7">
        <v>8</v>
      </c>
      <c r="E466">
        <v>1</v>
      </c>
      <c r="F466" t="s">
        <v>1321</v>
      </c>
      <c r="G466" t="s">
        <v>46</v>
      </c>
    </row>
    <row r="467" spans="1:7" x14ac:dyDescent="0.35">
      <c r="A467" t="s">
        <v>1820</v>
      </c>
      <c r="B467" s="4" t="s">
        <v>412</v>
      </c>
      <c r="C467">
        <v>1</v>
      </c>
      <c r="D467" s="7">
        <v>4</v>
      </c>
      <c r="E467">
        <v>2</v>
      </c>
      <c r="F467" t="s">
        <v>1321</v>
      </c>
      <c r="G467" t="s">
        <v>54</v>
      </c>
    </row>
    <row r="468" spans="1:7" x14ac:dyDescent="0.35">
      <c r="A468" t="s">
        <v>1821</v>
      </c>
      <c r="B468" s="4" t="s">
        <v>412</v>
      </c>
      <c r="C468">
        <v>4</v>
      </c>
      <c r="D468" s="7">
        <v>13</v>
      </c>
      <c r="E468">
        <v>1</v>
      </c>
      <c r="F468" t="s">
        <v>1324</v>
      </c>
      <c r="G468" t="s">
        <v>46</v>
      </c>
    </row>
    <row r="469" spans="1:7" x14ac:dyDescent="0.35">
      <c r="A469" t="s">
        <v>1822</v>
      </c>
      <c r="B469" s="4" t="s">
        <v>412</v>
      </c>
      <c r="C469">
        <v>5</v>
      </c>
      <c r="D469" s="7">
        <v>10</v>
      </c>
      <c r="E469">
        <v>1</v>
      </c>
      <c r="F469" t="s">
        <v>1324</v>
      </c>
      <c r="G469" t="s">
        <v>46</v>
      </c>
    </row>
    <row r="470" spans="1:7" x14ac:dyDescent="0.35">
      <c r="A470" t="s">
        <v>1823</v>
      </c>
      <c r="B470" s="4" t="s">
        <v>412</v>
      </c>
      <c r="C470">
        <v>6</v>
      </c>
      <c r="D470" s="7">
        <v>9</v>
      </c>
      <c r="E470">
        <v>1</v>
      </c>
      <c r="F470" t="s">
        <v>1324</v>
      </c>
      <c r="G470" t="s">
        <v>46</v>
      </c>
    </row>
    <row r="471" spans="1:7" x14ac:dyDescent="0.35">
      <c r="A471" t="s">
        <v>1824</v>
      </c>
      <c r="B471" s="4" t="s">
        <v>412</v>
      </c>
      <c r="C471">
        <v>9</v>
      </c>
      <c r="D471" s="7">
        <v>10</v>
      </c>
      <c r="E471">
        <v>1</v>
      </c>
      <c r="F471" t="s">
        <v>1324</v>
      </c>
      <c r="G471" t="s">
        <v>46</v>
      </c>
    </row>
    <row r="472" spans="1:7" x14ac:dyDescent="0.35">
      <c r="A472" t="s">
        <v>1825</v>
      </c>
      <c r="B472" s="4" t="s">
        <v>415</v>
      </c>
      <c r="C472">
        <v>1</v>
      </c>
      <c r="D472" s="7">
        <v>3</v>
      </c>
      <c r="E472">
        <v>2</v>
      </c>
      <c r="F472" t="s">
        <v>1321</v>
      </c>
      <c r="G472" t="s">
        <v>54</v>
      </c>
    </row>
    <row r="473" spans="1:7" x14ac:dyDescent="0.35">
      <c r="A473" t="s">
        <v>1826</v>
      </c>
      <c r="B473" s="4" t="s">
        <v>415</v>
      </c>
      <c r="C473">
        <v>4</v>
      </c>
      <c r="D473" s="7">
        <v>14</v>
      </c>
      <c r="E473">
        <v>1</v>
      </c>
      <c r="F473" t="s">
        <v>1324</v>
      </c>
      <c r="G473" t="s">
        <v>46</v>
      </c>
    </row>
    <row r="474" spans="1:7" x14ac:dyDescent="0.35">
      <c r="A474" t="s">
        <v>1827</v>
      </c>
      <c r="B474" s="4" t="s">
        <v>415</v>
      </c>
      <c r="C474">
        <v>5</v>
      </c>
      <c r="D474" s="7">
        <v>14</v>
      </c>
      <c r="E474">
        <v>1</v>
      </c>
      <c r="F474" t="s">
        <v>1324</v>
      </c>
      <c r="G474" t="s">
        <v>46</v>
      </c>
    </row>
    <row r="475" spans="1:7" x14ac:dyDescent="0.35">
      <c r="A475" t="s">
        <v>1828</v>
      </c>
      <c r="B475" s="4" t="s">
        <v>415</v>
      </c>
      <c r="C475">
        <v>6</v>
      </c>
      <c r="D475" s="7">
        <v>11</v>
      </c>
      <c r="E475">
        <v>1</v>
      </c>
      <c r="F475" t="s">
        <v>1324</v>
      </c>
      <c r="G475" t="s">
        <v>46</v>
      </c>
    </row>
    <row r="476" spans="1:7" x14ac:dyDescent="0.35">
      <c r="A476" t="s">
        <v>1829</v>
      </c>
      <c r="B476" s="4" t="s">
        <v>415</v>
      </c>
      <c r="C476">
        <v>9</v>
      </c>
      <c r="D476" s="7">
        <v>9</v>
      </c>
      <c r="E476">
        <v>1</v>
      </c>
      <c r="F476" t="s">
        <v>1324</v>
      </c>
      <c r="G476" t="s">
        <v>46</v>
      </c>
    </row>
    <row r="477" spans="1:7" x14ac:dyDescent="0.35">
      <c r="A477" t="s">
        <v>1830</v>
      </c>
      <c r="B477" s="4" t="s">
        <v>1831</v>
      </c>
      <c r="C477">
        <v>1</v>
      </c>
      <c r="D477" s="7">
        <v>9</v>
      </c>
      <c r="E477">
        <v>1</v>
      </c>
      <c r="F477" t="s">
        <v>1321</v>
      </c>
      <c r="G477" t="s">
        <v>46</v>
      </c>
    </row>
    <row r="478" spans="1:7" x14ac:dyDescent="0.35">
      <c r="A478" t="s">
        <v>1832</v>
      </c>
      <c r="B478" s="4" t="s">
        <v>1831</v>
      </c>
      <c r="C478">
        <v>1</v>
      </c>
      <c r="D478" s="7">
        <v>5</v>
      </c>
      <c r="E478">
        <v>2</v>
      </c>
      <c r="F478" t="s">
        <v>1321</v>
      </c>
      <c r="G478" t="s">
        <v>54</v>
      </c>
    </row>
    <row r="479" spans="1:7" x14ac:dyDescent="0.35">
      <c r="A479" t="s">
        <v>1833</v>
      </c>
      <c r="B479" s="4" t="s">
        <v>1831</v>
      </c>
      <c r="C479">
        <v>4</v>
      </c>
      <c r="D479" s="7">
        <v>9</v>
      </c>
      <c r="E479">
        <v>1</v>
      </c>
      <c r="F479" t="s">
        <v>1324</v>
      </c>
      <c r="G479" t="s">
        <v>46</v>
      </c>
    </row>
    <row r="480" spans="1:7" x14ac:dyDescent="0.35">
      <c r="A480" t="s">
        <v>1834</v>
      </c>
      <c r="B480" s="4" t="s">
        <v>1831</v>
      </c>
      <c r="C480">
        <v>5</v>
      </c>
      <c r="D480" s="7">
        <v>8</v>
      </c>
      <c r="E480">
        <v>1</v>
      </c>
      <c r="F480" t="s">
        <v>1324</v>
      </c>
      <c r="G480" t="s">
        <v>46</v>
      </c>
    </row>
    <row r="481" spans="1:7" x14ac:dyDescent="0.35">
      <c r="A481" t="s">
        <v>1835</v>
      </c>
      <c r="B481" s="4" t="s">
        <v>1831</v>
      </c>
      <c r="C481">
        <v>6</v>
      </c>
      <c r="D481" s="7">
        <v>13</v>
      </c>
      <c r="E481">
        <v>1</v>
      </c>
      <c r="F481" t="s">
        <v>1324</v>
      </c>
      <c r="G481" t="s">
        <v>46</v>
      </c>
    </row>
    <row r="482" spans="1:7" x14ac:dyDescent="0.35">
      <c r="A482" t="s">
        <v>1836</v>
      </c>
      <c r="B482" s="4" t="s">
        <v>1831</v>
      </c>
      <c r="C482">
        <v>9</v>
      </c>
      <c r="D482" s="7">
        <v>14</v>
      </c>
      <c r="E482">
        <v>1</v>
      </c>
      <c r="F482" t="s">
        <v>1324</v>
      </c>
      <c r="G482" t="s">
        <v>46</v>
      </c>
    </row>
    <row r="483" spans="1:7" x14ac:dyDescent="0.35">
      <c r="A483" t="s">
        <v>1837</v>
      </c>
      <c r="B483" s="4" t="s">
        <v>1838</v>
      </c>
      <c r="C483">
        <v>1</v>
      </c>
      <c r="D483" s="7">
        <v>3</v>
      </c>
      <c r="E483">
        <v>1</v>
      </c>
      <c r="F483" t="s">
        <v>1321</v>
      </c>
      <c r="G483" t="s">
        <v>46</v>
      </c>
    </row>
    <row r="484" spans="1:7" x14ac:dyDescent="0.35">
      <c r="A484" t="s">
        <v>1839</v>
      </c>
      <c r="B484" s="4" t="s">
        <v>1838</v>
      </c>
      <c r="C484">
        <v>1</v>
      </c>
      <c r="D484" s="7">
        <v>1</v>
      </c>
      <c r="E484">
        <v>2</v>
      </c>
      <c r="F484" t="s">
        <v>1321</v>
      </c>
      <c r="G484" t="s">
        <v>54</v>
      </c>
    </row>
    <row r="485" spans="1:7" x14ac:dyDescent="0.35">
      <c r="A485" t="s">
        <v>1840</v>
      </c>
      <c r="B485" s="4" t="s">
        <v>1838</v>
      </c>
      <c r="C485">
        <v>4</v>
      </c>
      <c r="D485" s="7">
        <v>7</v>
      </c>
      <c r="E485">
        <v>1</v>
      </c>
      <c r="F485" t="s">
        <v>1324</v>
      </c>
      <c r="G485" t="s">
        <v>46</v>
      </c>
    </row>
    <row r="486" spans="1:7" x14ac:dyDescent="0.35">
      <c r="A486" t="s">
        <v>1841</v>
      </c>
      <c r="B486" s="4" t="s">
        <v>1838</v>
      </c>
      <c r="C486">
        <v>5</v>
      </c>
      <c r="D486" s="7">
        <v>4</v>
      </c>
      <c r="E486">
        <v>1</v>
      </c>
      <c r="F486" t="s">
        <v>1324</v>
      </c>
      <c r="G486" t="s">
        <v>46</v>
      </c>
    </row>
    <row r="487" spans="1:7" x14ac:dyDescent="0.35">
      <c r="A487" t="s">
        <v>1842</v>
      </c>
      <c r="B487" s="4" t="s">
        <v>1838</v>
      </c>
      <c r="C487">
        <v>6</v>
      </c>
      <c r="D487" s="7">
        <v>7</v>
      </c>
      <c r="E487">
        <v>1</v>
      </c>
      <c r="F487" t="s">
        <v>1324</v>
      </c>
      <c r="G487" t="s">
        <v>46</v>
      </c>
    </row>
    <row r="488" spans="1:7" x14ac:dyDescent="0.35">
      <c r="A488" t="s">
        <v>1843</v>
      </c>
      <c r="B488" s="4" t="s">
        <v>1838</v>
      </c>
      <c r="C488">
        <v>9</v>
      </c>
      <c r="D488" s="7">
        <v>6</v>
      </c>
      <c r="E488">
        <v>1</v>
      </c>
      <c r="F488" t="s">
        <v>1324</v>
      </c>
      <c r="G488" t="s">
        <v>46</v>
      </c>
    </row>
    <row r="489" spans="1:7" x14ac:dyDescent="0.35">
      <c r="A489" t="s">
        <v>1844</v>
      </c>
      <c r="B489" s="4" t="s">
        <v>1845</v>
      </c>
      <c r="C489">
        <v>1</v>
      </c>
      <c r="D489" s="7">
        <v>4</v>
      </c>
      <c r="E489">
        <v>1</v>
      </c>
      <c r="F489" t="s">
        <v>1321</v>
      </c>
      <c r="G489" t="s">
        <v>46</v>
      </c>
    </row>
    <row r="490" spans="1:7" x14ac:dyDescent="0.35">
      <c r="A490" t="s">
        <v>1846</v>
      </c>
      <c r="B490" s="4" t="s">
        <v>1845</v>
      </c>
      <c r="C490">
        <v>4</v>
      </c>
      <c r="D490" s="7">
        <v>6</v>
      </c>
      <c r="E490">
        <v>1</v>
      </c>
      <c r="F490" t="s">
        <v>1324</v>
      </c>
      <c r="G490" t="s">
        <v>46</v>
      </c>
    </row>
    <row r="491" spans="1:7" x14ac:dyDescent="0.35">
      <c r="A491" t="s">
        <v>1847</v>
      </c>
      <c r="B491" s="4" t="s">
        <v>1845</v>
      </c>
      <c r="C491">
        <v>5</v>
      </c>
      <c r="D491" s="7">
        <v>7</v>
      </c>
      <c r="E491">
        <v>1</v>
      </c>
      <c r="F491" t="s">
        <v>1324</v>
      </c>
      <c r="G491" t="s">
        <v>46</v>
      </c>
    </row>
    <row r="492" spans="1:7" x14ac:dyDescent="0.35">
      <c r="A492" t="s">
        <v>1848</v>
      </c>
      <c r="B492" s="4" t="s">
        <v>1845</v>
      </c>
      <c r="C492">
        <v>6</v>
      </c>
      <c r="D492" s="7">
        <v>7</v>
      </c>
      <c r="E492">
        <v>1</v>
      </c>
      <c r="F492" t="s">
        <v>1324</v>
      </c>
      <c r="G492" t="s">
        <v>46</v>
      </c>
    </row>
    <row r="493" spans="1:7" x14ac:dyDescent="0.35">
      <c r="A493" t="s">
        <v>1849</v>
      </c>
      <c r="B493" s="4" t="s">
        <v>1845</v>
      </c>
      <c r="C493">
        <v>9</v>
      </c>
      <c r="D493" s="7">
        <v>7</v>
      </c>
      <c r="E493">
        <v>1</v>
      </c>
      <c r="F493" t="s">
        <v>1324</v>
      </c>
      <c r="G493" t="s">
        <v>46</v>
      </c>
    </row>
    <row r="494" spans="1:7" x14ac:dyDescent="0.35">
      <c r="A494" t="s">
        <v>1850</v>
      </c>
      <c r="B494" s="4" t="s">
        <v>417</v>
      </c>
      <c r="C494">
        <v>1</v>
      </c>
      <c r="D494" s="7">
        <v>5</v>
      </c>
      <c r="E494">
        <v>2</v>
      </c>
      <c r="F494" t="s">
        <v>1321</v>
      </c>
      <c r="G494" t="s">
        <v>54</v>
      </c>
    </row>
    <row r="495" spans="1:7" x14ac:dyDescent="0.35">
      <c r="A495" t="s">
        <v>1851</v>
      </c>
      <c r="B495" s="4" t="s">
        <v>417</v>
      </c>
      <c r="C495">
        <v>4</v>
      </c>
      <c r="D495" s="7">
        <v>9</v>
      </c>
      <c r="E495">
        <v>1</v>
      </c>
      <c r="F495" t="s">
        <v>1324</v>
      </c>
      <c r="G495" t="s">
        <v>46</v>
      </c>
    </row>
    <row r="496" spans="1:7" x14ac:dyDescent="0.35">
      <c r="A496" t="s">
        <v>1852</v>
      </c>
      <c r="B496" s="4" t="s">
        <v>417</v>
      </c>
      <c r="C496">
        <v>5</v>
      </c>
      <c r="D496" s="7">
        <v>12</v>
      </c>
      <c r="E496">
        <v>1</v>
      </c>
      <c r="F496" t="s">
        <v>1324</v>
      </c>
      <c r="G496" t="s">
        <v>46</v>
      </c>
    </row>
    <row r="497" spans="1:7" x14ac:dyDescent="0.35">
      <c r="A497" t="s">
        <v>1853</v>
      </c>
      <c r="B497" s="4" t="s">
        <v>417</v>
      </c>
      <c r="C497">
        <v>6</v>
      </c>
      <c r="D497" s="7">
        <v>15</v>
      </c>
      <c r="E497">
        <v>1</v>
      </c>
      <c r="F497" t="s">
        <v>1324</v>
      </c>
      <c r="G497" t="s">
        <v>46</v>
      </c>
    </row>
    <row r="498" spans="1:7" x14ac:dyDescent="0.35">
      <c r="A498" t="s">
        <v>1854</v>
      </c>
      <c r="B498" s="4" t="s">
        <v>417</v>
      </c>
      <c r="C498">
        <v>9</v>
      </c>
      <c r="D498" s="7">
        <v>11</v>
      </c>
      <c r="E498">
        <v>1</v>
      </c>
      <c r="F498" t="s">
        <v>1324</v>
      </c>
      <c r="G498" t="s">
        <v>46</v>
      </c>
    </row>
    <row r="499" spans="1:7" x14ac:dyDescent="0.35">
      <c r="A499" t="s">
        <v>1855</v>
      </c>
      <c r="B499" s="4" t="s">
        <v>420</v>
      </c>
      <c r="C499">
        <v>1</v>
      </c>
      <c r="D499" s="7">
        <v>12</v>
      </c>
      <c r="E499">
        <v>1</v>
      </c>
      <c r="F499" t="s">
        <v>1321</v>
      </c>
      <c r="G499" t="s">
        <v>46</v>
      </c>
    </row>
    <row r="500" spans="1:7" x14ac:dyDescent="0.35">
      <c r="A500" t="s">
        <v>1856</v>
      </c>
      <c r="B500" s="4" t="s">
        <v>420</v>
      </c>
      <c r="C500">
        <v>1</v>
      </c>
      <c r="D500" s="7">
        <v>6</v>
      </c>
      <c r="E500">
        <v>2</v>
      </c>
      <c r="F500" t="s">
        <v>1321</v>
      </c>
      <c r="G500" t="s">
        <v>54</v>
      </c>
    </row>
    <row r="501" spans="1:7" x14ac:dyDescent="0.35">
      <c r="A501" t="s">
        <v>1857</v>
      </c>
      <c r="B501" s="4" t="s">
        <v>420</v>
      </c>
      <c r="C501">
        <v>4</v>
      </c>
      <c r="D501" s="7">
        <v>13</v>
      </c>
      <c r="E501">
        <v>1</v>
      </c>
      <c r="F501" t="s">
        <v>1324</v>
      </c>
      <c r="G501" t="s">
        <v>46</v>
      </c>
    </row>
    <row r="502" spans="1:7" x14ac:dyDescent="0.35">
      <c r="A502" t="s">
        <v>1858</v>
      </c>
      <c r="B502" s="4" t="s">
        <v>420</v>
      </c>
      <c r="C502">
        <v>5</v>
      </c>
      <c r="D502" s="7">
        <v>10</v>
      </c>
      <c r="E502">
        <v>1</v>
      </c>
      <c r="F502" t="s">
        <v>1324</v>
      </c>
      <c r="G502" t="s">
        <v>46</v>
      </c>
    </row>
    <row r="503" spans="1:7" x14ac:dyDescent="0.35">
      <c r="A503" t="s">
        <v>1859</v>
      </c>
      <c r="B503" s="4" t="s">
        <v>420</v>
      </c>
      <c r="C503">
        <v>6</v>
      </c>
      <c r="D503" s="7">
        <v>15</v>
      </c>
      <c r="E503">
        <v>1</v>
      </c>
      <c r="F503" t="s">
        <v>1324</v>
      </c>
      <c r="G503" t="s">
        <v>46</v>
      </c>
    </row>
    <row r="504" spans="1:7" x14ac:dyDescent="0.35">
      <c r="A504" t="s">
        <v>1860</v>
      </c>
      <c r="B504" s="4" t="s">
        <v>420</v>
      </c>
      <c r="C504">
        <v>9</v>
      </c>
      <c r="D504" s="7">
        <v>11</v>
      </c>
      <c r="E504">
        <v>1</v>
      </c>
      <c r="F504" t="s">
        <v>1324</v>
      </c>
      <c r="G504" t="s">
        <v>46</v>
      </c>
    </row>
    <row r="505" spans="1:7" x14ac:dyDescent="0.35">
      <c r="A505" t="s">
        <v>1861</v>
      </c>
      <c r="B505" s="4" t="s">
        <v>424</v>
      </c>
      <c r="C505">
        <v>1</v>
      </c>
      <c r="D505" s="7">
        <v>10</v>
      </c>
      <c r="E505">
        <v>1</v>
      </c>
      <c r="F505" t="s">
        <v>1321</v>
      </c>
      <c r="G505" t="s">
        <v>46</v>
      </c>
    </row>
    <row r="506" spans="1:7" x14ac:dyDescent="0.35">
      <c r="A506" t="s">
        <v>1862</v>
      </c>
      <c r="B506" s="4" t="s">
        <v>424</v>
      </c>
      <c r="C506">
        <v>1</v>
      </c>
      <c r="D506" s="7">
        <v>5</v>
      </c>
      <c r="E506">
        <v>2</v>
      </c>
      <c r="F506" t="s">
        <v>1321</v>
      </c>
      <c r="G506" t="s">
        <v>54</v>
      </c>
    </row>
    <row r="507" spans="1:7" x14ac:dyDescent="0.35">
      <c r="A507" t="s">
        <v>1863</v>
      </c>
      <c r="B507" s="4" t="s">
        <v>424</v>
      </c>
      <c r="C507">
        <v>4</v>
      </c>
      <c r="D507" s="7">
        <v>11</v>
      </c>
      <c r="E507">
        <v>1</v>
      </c>
      <c r="F507" t="s">
        <v>1324</v>
      </c>
      <c r="G507" t="s">
        <v>46</v>
      </c>
    </row>
    <row r="508" spans="1:7" x14ac:dyDescent="0.35">
      <c r="A508" t="s">
        <v>1864</v>
      </c>
      <c r="B508" s="4" t="s">
        <v>424</v>
      </c>
      <c r="C508">
        <v>5</v>
      </c>
      <c r="D508" s="7">
        <v>9</v>
      </c>
      <c r="E508">
        <v>1</v>
      </c>
      <c r="F508" t="s">
        <v>1324</v>
      </c>
      <c r="G508" t="s">
        <v>46</v>
      </c>
    </row>
    <row r="509" spans="1:7" x14ac:dyDescent="0.35">
      <c r="A509" t="s">
        <v>1865</v>
      </c>
      <c r="B509" s="4" t="s">
        <v>424</v>
      </c>
      <c r="C509">
        <v>6</v>
      </c>
      <c r="D509" s="7">
        <v>11</v>
      </c>
      <c r="E509">
        <v>1</v>
      </c>
      <c r="F509" t="s">
        <v>1324</v>
      </c>
      <c r="G509" t="s">
        <v>46</v>
      </c>
    </row>
    <row r="510" spans="1:7" x14ac:dyDescent="0.35">
      <c r="A510" t="s">
        <v>1866</v>
      </c>
      <c r="B510" s="4" t="s">
        <v>424</v>
      </c>
      <c r="C510">
        <v>9</v>
      </c>
      <c r="D510" s="7">
        <v>14</v>
      </c>
      <c r="E510">
        <v>1</v>
      </c>
      <c r="F510" t="s">
        <v>1324</v>
      </c>
      <c r="G510" t="s">
        <v>46</v>
      </c>
    </row>
    <row r="511" spans="1:7" x14ac:dyDescent="0.35">
      <c r="A511" t="s">
        <v>1867</v>
      </c>
      <c r="B511" s="4" t="s">
        <v>428</v>
      </c>
      <c r="C511">
        <v>1</v>
      </c>
      <c r="D511" s="7">
        <v>9</v>
      </c>
      <c r="E511">
        <v>1</v>
      </c>
      <c r="F511" t="s">
        <v>1321</v>
      </c>
      <c r="G511" t="s">
        <v>46</v>
      </c>
    </row>
    <row r="512" spans="1:7" x14ac:dyDescent="0.35">
      <c r="A512" t="s">
        <v>1868</v>
      </c>
      <c r="B512" s="4" t="s">
        <v>428</v>
      </c>
      <c r="C512">
        <v>1</v>
      </c>
      <c r="D512" s="7">
        <v>6</v>
      </c>
      <c r="E512">
        <v>2</v>
      </c>
      <c r="F512" t="s">
        <v>1321</v>
      </c>
      <c r="G512" t="s">
        <v>54</v>
      </c>
    </row>
    <row r="513" spans="1:7" x14ac:dyDescent="0.35">
      <c r="A513" t="s">
        <v>1869</v>
      </c>
      <c r="B513" s="4" t="s">
        <v>428</v>
      </c>
      <c r="C513">
        <v>4</v>
      </c>
      <c r="D513" s="7">
        <v>9</v>
      </c>
      <c r="E513">
        <v>1</v>
      </c>
      <c r="F513" t="s">
        <v>1324</v>
      </c>
      <c r="G513" t="s">
        <v>46</v>
      </c>
    </row>
    <row r="514" spans="1:7" x14ac:dyDescent="0.35">
      <c r="A514" t="s">
        <v>1870</v>
      </c>
      <c r="B514" s="4" t="s">
        <v>428</v>
      </c>
      <c r="C514">
        <v>5</v>
      </c>
      <c r="D514" s="7">
        <v>12</v>
      </c>
      <c r="E514">
        <v>1</v>
      </c>
      <c r="F514" t="s">
        <v>1324</v>
      </c>
      <c r="G514" t="s">
        <v>46</v>
      </c>
    </row>
    <row r="515" spans="1:7" x14ac:dyDescent="0.35">
      <c r="A515" t="s">
        <v>1871</v>
      </c>
      <c r="B515" s="4" t="s">
        <v>428</v>
      </c>
      <c r="C515">
        <v>6</v>
      </c>
      <c r="D515" s="7">
        <v>11</v>
      </c>
      <c r="E515">
        <v>1</v>
      </c>
      <c r="F515" t="s">
        <v>1324</v>
      </c>
      <c r="G515" t="s">
        <v>46</v>
      </c>
    </row>
    <row r="516" spans="1:7" x14ac:dyDescent="0.35">
      <c r="A516" t="s">
        <v>1872</v>
      </c>
      <c r="B516" s="4" t="s">
        <v>428</v>
      </c>
      <c r="C516">
        <v>9</v>
      </c>
      <c r="D516" s="7">
        <v>14</v>
      </c>
      <c r="E516">
        <v>1</v>
      </c>
      <c r="F516" t="s">
        <v>1324</v>
      </c>
      <c r="G516" t="s">
        <v>46</v>
      </c>
    </row>
    <row r="517" spans="1:7" x14ac:dyDescent="0.35">
      <c r="A517" t="s">
        <v>1873</v>
      </c>
      <c r="B517" s="4" t="s">
        <v>430</v>
      </c>
      <c r="C517">
        <v>1</v>
      </c>
      <c r="D517" s="7">
        <v>10</v>
      </c>
      <c r="E517">
        <v>1</v>
      </c>
      <c r="F517" t="s">
        <v>1321</v>
      </c>
      <c r="G517" t="s">
        <v>46</v>
      </c>
    </row>
    <row r="518" spans="1:7" x14ac:dyDescent="0.35">
      <c r="A518" t="s">
        <v>1874</v>
      </c>
      <c r="B518" s="4" t="s">
        <v>430</v>
      </c>
      <c r="C518">
        <v>1</v>
      </c>
      <c r="D518" s="7">
        <v>5</v>
      </c>
      <c r="E518">
        <v>2</v>
      </c>
      <c r="F518" t="s">
        <v>1321</v>
      </c>
      <c r="G518" t="s">
        <v>54</v>
      </c>
    </row>
    <row r="519" spans="1:7" x14ac:dyDescent="0.35">
      <c r="A519" t="s">
        <v>1875</v>
      </c>
      <c r="B519" s="4" t="s">
        <v>430</v>
      </c>
      <c r="C519">
        <v>4</v>
      </c>
      <c r="D519" s="7">
        <v>13</v>
      </c>
      <c r="E519">
        <v>1</v>
      </c>
      <c r="F519" t="s">
        <v>1324</v>
      </c>
      <c r="G519" t="s">
        <v>46</v>
      </c>
    </row>
    <row r="520" spans="1:7" x14ac:dyDescent="0.35">
      <c r="A520" t="s">
        <v>1876</v>
      </c>
      <c r="B520" s="4" t="s">
        <v>430</v>
      </c>
      <c r="C520">
        <v>5</v>
      </c>
      <c r="D520" s="7">
        <v>14</v>
      </c>
      <c r="E520">
        <v>1</v>
      </c>
      <c r="F520" t="s">
        <v>1324</v>
      </c>
      <c r="G520" t="s">
        <v>46</v>
      </c>
    </row>
    <row r="521" spans="1:7" x14ac:dyDescent="0.35">
      <c r="A521" t="s">
        <v>1877</v>
      </c>
      <c r="B521" s="4" t="s">
        <v>430</v>
      </c>
      <c r="C521">
        <v>6</v>
      </c>
      <c r="D521" s="7">
        <v>13</v>
      </c>
      <c r="E521">
        <v>1</v>
      </c>
      <c r="F521" t="s">
        <v>1324</v>
      </c>
      <c r="G521" t="s">
        <v>46</v>
      </c>
    </row>
    <row r="522" spans="1:7" x14ac:dyDescent="0.35">
      <c r="A522" t="s">
        <v>1878</v>
      </c>
      <c r="B522" s="4" t="s">
        <v>430</v>
      </c>
      <c r="C522">
        <v>9</v>
      </c>
      <c r="D522" s="7">
        <v>13</v>
      </c>
      <c r="E522">
        <v>1</v>
      </c>
      <c r="F522" t="s">
        <v>1324</v>
      </c>
      <c r="G522" t="s">
        <v>46</v>
      </c>
    </row>
    <row r="523" spans="1:7" x14ac:dyDescent="0.35">
      <c r="A523" t="s">
        <v>1879</v>
      </c>
      <c r="B523" s="4" t="s">
        <v>438</v>
      </c>
      <c r="C523">
        <v>1</v>
      </c>
      <c r="D523" s="7">
        <v>4</v>
      </c>
      <c r="E523">
        <v>1</v>
      </c>
      <c r="F523" t="s">
        <v>1321</v>
      </c>
      <c r="G523" t="s">
        <v>46</v>
      </c>
    </row>
    <row r="524" spans="1:7" x14ac:dyDescent="0.35">
      <c r="A524" t="s">
        <v>1880</v>
      </c>
      <c r="B524" s="4" t="s">
        <v>438</v>
      </c>
      <c r="C524">
        <v>1</v>
      </c>
      <c r="D524" s="7">
        <v>1</v>
      </c>
      <c r="E524">
        <v>2</v>
      </c>
      <c r="F524" t="s">
        <v>1321</v>
      </c>
      <c r="G524" t="s">
        <v>54</v>
      </c>
    </row>
    <row r="525" spans="1:7" x14ac:dyDescent="0.35">
      <c r="A525" t="s">
        <v>1881</v>
      </c>
      <c r="B525" s="4" t="s">
        <v>438</v>
      </c>
      <c r="C525">
        <v>4</v>
      </c>
      <c r="D525" s="7">
        <v>6</v>
      </c>
      <c r="E525">
        <v>1</v>
      </c>
      <c r="F525" t="s">
        <v>1324</v>
      </c>
      <c r="G525" t="s">
        <v>46</v>
      </c>
    </row>
    <row r="526" spans="1:7" x14ac:dyDescent="0.35">
      <c r="A526" t="s">
        <v>1882</v>
      </c>
      <c r="B526" s="4" t="s">
        <v>438</v>
      </c>
      <c r="C526">
        <v>5</v>
      </c>
      <c r="D526" s="7">
        <v>4</v>
      </c>
      <c r="E526">
        <v>1</v>
      </c>
      <c r="F526" t="s">
        <v>1324</v>
      </c>
      <c r="G526" t="s">
        <v>46</v>
      </c>
    </row>
    <row r="527" spans="1:7" x14ac:dyDescent="0.35">
      <c r="A527" t="s">
        <v>1883</v>
      </c>
      <c r="B527" s="4" t="s">
        <v>438</v>
      </c>
      <c r="C527">
        <v>6</v>
      </c>
      <c r="D527" s="7">
        <v>5</v>
      </c>
      <c r="E527">
        <v>1</v>
      </c>
      <c r="F527" t="s">
        <v>1324</v>
      </c>
      <c r="G527" t="s">
        <v>46</v>
      </c>
    </row>
    <row r="528" spans="1:7" x14ac:dyDescent="0.35">
      <c r="A528" t="s">
        <v>1884</v>
      </c>
      <c r="B528" s="4" t="s">
        <v>438</v>
      </c>
      <c r="C528">
        <v>9</v>
      </c>
      <c r="D528" s="7">
        <v>5</v>
      </c>
      <c r="E528">
        <v>1</v>
      </c>
      <c r="F528" t="s">
        <v>1324</v>
      </c>
      <c r="G528" t="s">
        <v>46</v>
      </c>
    </row>
    <row r="529" spans="1:7" x14ac:dyDescent="0.35">
      <c r="A529" t="s">
        <v>1885</v>
      </c>
      <c r="B529" s="4" t="s">
        <v>1886</v>
      </c>
      <c r="C529">
        <v>1</v>
      </c>
      <c r="D529" s="7">
        <v>4</v>
      </c>
      <c r="E529">
        <v>1</v>
      </c>
      <c r="F529" t="s">
        <v>1321</v>
      </c>
      <c r="G529" t="s">
        <v>46</v>
      </c>
    </row>
    <row r="530" spans="1:7" x14ac:dyDescent="0.35">
      <c r="A530" t="s">
        <v>1887</v>
      </c>
      <c r="B530" s="4" t="s">
        <v>1886</v>
      </c>
      <c r="C530">
        <v>1</v>
      </c>
      <c r="D530" s="7">
        <v>1</v>
      </c>
      <c r="E530">
        <v>2</v>
      </c>
      <c r="F530" t="s">
        <v>1321</v>
      </c>
      <c r="G530" t="s">
        <v>54</v>
      </c>
    </row>
    <row r="531" spans="1:7" x14ac:dyDescent="0.35">
      <c r="A531" t="s">
        <v>1888</v>
      </c>
      <c r="B531" s="4" t="s">
        <v>1886</v>
      </c>
      <c r="C531">
        <v>4</v>
      </c>
      <c r="D531" s="7">
        <v>5</v>
      </c>
      <c r="E531">
        <v>1</v>
      </c>
      <c r="F531" t="s">
        <v>1324</v>
      </c>
      <c r="G531" t="s">
        <v>46</v>
      </c>
    </row>
    <row r="532" spans="1:7" x14ac:dyDescent="0.35">
      <c r="A532" t="s">
        <v>1889</v>
      </c>
      <c r="B532" s="4" t="s">
        <v>1886</v>
      </c>
      <c r="C532">
        <v>5</v>
      </c>
      <c r="D532" s="7">
        <v>6</v>
      </c>
      <c r="E532">
        <v>1</v>
      </c>
      <c r="F532" t="s">
        <v>1324</v>
      </c>
      <c r="G532" t="s">
        <v>46</v>
      </c>
    </row>
    <row r="533" spans="1:7" x14ac:dyDescent="0.35">
      <c r="A533" t="s">
        <v>1890</v>
      </c>
      <c r="B533" s="4" t="s">
        <v>1886</v>
      </c>
      <c r="C533">
        <v>6</v>
      </c>
      <c r="D533" s="7">
        <v>5</v>
      </c>
      <c r="E533">
        <v>1</v>
      </c>
      <c r="F533" t="s">
        <v>1324</v>
      </c>
      <c r="G533" t="s">
        <v>46</v>
      </c>
    </row>
    <row r="534" spans="1:7" x14ac:dyDescent="0.35">
      <c r="A534" t="s">
        <v>1891</v>
      </c>
      <c r="B534" s="4" t="s">
        <v>1886</v>
      </c>
      <c r="C534">
        <v>9</v>
      </c>
      <c r="D534" s="7">
        <v>6</v>
      </c>
      <c r="E534">
        <v>1</v>
      </c>
      <c r="F534" t="s">
        <v>1324</v>
      </c>
      <c r="G534" t="s">
        <v>46</v>
      </c>
    </row>
    <row r="535" spans="1:7" x14ac:dyDescent="0.35">
      <c r="A535" t="s">
        <v>1892</v>
      </c>
      <c r="B535" s="4" t="s">
        <v>443</v>
      </c>
      <c r="C535">
        <v>1</v>
      </c>
      <c r="D535" s="7">
        <v>8</v>
      </c>
      <c r="E535">
        <v>1</v>
      </c>
      <c r="F535" t="s">
        <v>1321</v>
      </c>
      <c r="G535" t="s">
        <v>46</v>
      </c>
    </row>
    <row r="536" spans="1:7" x14ac:dyDescent="0.35">
      <c r="A536" t="s">
        <v>1893</v>
      </c>
      <c r="B536" s="4" t="s">
        <v>443</v>
      </c>
      <c r="C536">
        <v>4</v>
      </c>
      <c r="D536" s="7">
        <v>8</v>
      </c>
      <c r="E536">
        <v>1</v>
      </c>
      <c r="F536" t="s">
        <v>1324</v>
      </c>
      <c r="G536" t="s">
        <v>46</v>
      </c>
    </row>
    <row r="537" spans="1:7" x14ac:dyDescent="0.35">
      <c r="A537" t="s">
        <v>1894</v>
      </c>
      <c r="B537" s="4" t="s">
        <v>443</v>
      </c>
      <c r="C537">
        <v>5</v>
      </c>
      <c r="D537" s="7">
        <v>12</v>
      </c>
      <c r="E537">
        <v>1</v>
      </c>
      <c r="F537" t="s">
        <v>1324</v>
      </c>
      <c r="G537" t="s">
        <v>46</v>
      </c>
    </row>
    <row r="538" spans="1:7" x14ac:dyDescent="0.35">
      <c r="A538" t="s">
        <v>1895</v>
      </c>
      <c r="B538" s="4" t="s">
        <v>443</v>
      </c>
      <c r="C538">
        <v>6</v>
      </c>
      <c r="D538" s="7">
        <v>10</v>
      </c>
      <c r="E538">
        <v>1</v>
      </c>
      <c r="F538" t="s">
        <v>1324</v>
      </c>
      <c r="G538" t="s">
        <v>46</v>
      </c>
    </row>
    <row r="539" spans="1:7" x14ac:dyDescent="0.35">
      <c r="A539" t="s">
        <v>1896</v>
      </c>
      <c r="B539" s="4" t="s">
        <v>443</v>
      </c>
      <c r="C539">
        <v>9</v>
      </c>
      <c r="D539" s="7">
        <v>15</v>
      </c>
      <c r="E539">
        <v>1</v>
      </c>
      <c r="F539" t="s">
        <v>1324</v>
      </c>
      <c r="G539" t="s">
        <v>46</v>
      </c>
    </row>
    <row r="540" spans="1:7" x14ac:dyDescent="0.35">
      <c r="A540" t="s">
        <v>1897</v>
      </c>
      <c r="B540" s="4" t="s">
        <v>448</v>
      </c>
      <c r="C540">
        <v>1</v>
      </c>
      <c r="D540" s="7">
        <v>8</v>
      </c>
      <c r="E540">
        <v>1</v>
      </c>
      <c r="F540" t="s">
        <v>1321</v>
      </c>
      <c r="G540" t="s">
        <v>46</v>
      </c>
    </row>
    <row r="541" spans="1:7" x14ac:dyDescent="0.35">
      <c r="A541" t="s">
        <v>1898</v>
      </c>
      <c r="B541" s="4" t="s">
        <v>448</v>
      </c>
      <c r="C541">
        <v>1</v>
      </c>
      <c r="D541" s="7">
        <v>6</v>
      </c>
      <c r="E541">
        <v>2</v>
      </c>
      <c r="F541" t="s">
        <v>1321</v>
      </c>
      <c r="G541" t="s">
        <v>54</v>
      </c>
    </row>
    <row r="542" spans="1:7" x14ac:dyDescent="0.35">
      <c r="A542" t="s">
        <v>1899</v>
      </c>
      <c r="B542" s="4" t="s">
        <v>448</v>
      </c>
      <c r="C542">
        <v>4</v>
      </c>
      <c r="D542" s="7">
        <v>10</v>
      </c>
      <c r="E542">
        <v>1</v>
      </c>
      <c r="F542" t="s">
        <v>1324</v>
      </c>
      <c r="G542" t="s">
        <v>46</v>
      </c>
    </row>
    <row r="543" spans="1:7" x14ac:dyDescent="0.35">
      <c r="A543" t="s">
        <v>1900</v>
      </c>
      <c r="B543" s="4" t="s">
        <v>448</v>
      </c>
      <c r="C543">
        <v>5</v>
      </c>
      <c r="D543" s="7">
        <v>8</v>
      </c>
      <c r="E543">
        <v>1</v>
      </c>
      <c r="F543" t="s">
        <v>1324</v>
      </c>
      <c r="G543" t="s">
        <v>46</v>
      </c>
    </row>
    <row r="544" spans="1:7" x14ac:dyDescent="0.35">
      <c r="A544" t="s">
        <v>1901</v>
      </c>
      <c r="B544" s="4" t="s">
        <v>448</v>
      </c>
      <c r="C544">
        <v>6</v>
      </c>
      <c r="D544" s="7">
        <v>12</v>
      </c>
      <c r="E544">
        <v>1</v>
      </c>
      <c r="F544" t="s">
        <v>1324</v>
      </c>
      <c r="G544" t="s">
        <v>46</v>
      </c>
    </row>
    <row r="545" spans="1:7" x14ac:dyDescent="0.35">
      <c r="A545" t="s">
        <v>1902</v>
      </c>
      <c r="B545" s="4" t="s">
        <v>448</v>
      </c>
      <c r="C545">
        <v>9</v>
      </c>
      <c r="D545" s="7">
        <v>15</v>
      </c>
      <c r="E545">
        <v>1</v>
      </c>
      <c r="F545" t="s">
        <v>1324</v>
      </c>
      <c r="G545" t="s">
        <v>46</v>
      </c>
    </row>
    <row r="546" spans="1:7" x14ac:dyDescent="0.35">
      <c r="A546" t="s">
        <v>1903</v>
      </c>
      <c r="B546" s="4" t="s">
        <v>454</v>
      </c>
      <c r="C546">
        <v>1</v>
      </c>
      <c r="D546" s="7">
        <v>8</v>
      </c>
      <c r="E546">
        <v>1</v>
      </c>
      <c r="F546" t="s">
        <v>1321</v>
      </c>
      <c r="G546" t="s">
        <v>46</v>
      </c>
    </row>
    <row r="547" spans="1:7" x14ac:dyDescent="0.35">
      <c r="A547" t="s">
        <v>1904</v>
      </c>
      <c r="B547" s="4" t="s">
        <v>454</v>
      </c>
      <c r="C547">
        <v>1</v>
      </c>
      <c r="D547" s="7">
        <v>3</v>
      </c>
      <c r="E547">
        <v>2</v>
      </c>
      <c r="F547" t="s">
        <v>1321</v>
      </c>
      <c r="G547" t="s">
        <v>54</v>
      </c>
    </row>
    <row r="548" spans="1:7" x14ac:dyDescent="0.35">
      <c r="A548" t="s">
        <v>1905</v>
      </c>
      <c r="B548" s="4" t="s">
        <v>454</v>
      </c>
      <c r="C548">
        <v>4</v>
      </c>
      <c r="D548" s="7">
        <v>8</v>
      </c>
      <c r="E548">
        <v>1</v>
      </c>
      <c r="F548" t="s">
        <v>1324</v>
      </c>
      <c r="G548" t="s">
        <v>46</v>
      </c>
    </row>
    <row r="549" spans="1:7" x14ac:dyDescent="0.35">
      <c r="A549" t="s">
        <v>1906</v>
      </c>
      <c r="B549" s="4" t="s">
        <v>454</v>
      </c>
      <c r="C549">
        <v>5</v>
      </c>
      <c r="D549" s="7">
        <v>10</v>
      </c>
      <c r="E549">
        <v>1</v>
      </c>
      <c r="F549" t="s">
        <v>1324</v>
      </c>
      <c r="G549" t="s">
        <v>46</v>
      </c>
    </row>
    <row r="550" spans="1:7" x14ac:dyDescent="0.35">
      <c r="A550" t="s">
        <v>1907</v>
      </c>
      <c r="B550" s="4" t="s">
        <v>454</v>
      </c>
      <c r="C550">
        <v>6</v>
      </c>
      <c r="D550" s="7">
        <v>10</v>
      </c>
      <c r="E550">
        <v>1</v>
      </c>
      <c r="F550" t="s">
        <v>1324</v>
      </c>
      <c r="G550" t="s">
        <v>46</v>
      </c>
    </row>
    <row r="551" spans="1:7" x14ac:dyDescent="0.35">
      <c r="A551" t="s">
        <v>1908</v>
      </c>
      <c r="B551" s="4" t="s">
        <v>454</v>
      </c>
      <c r="C551">
        <v>9</v>
      </c>
      <c r="D551" s="7">
        <v>12</v>
      </c>
      <c r="E551">
        <v>1</v>
      </c>
      <c r="F551" t="s">
        <v>1324</v>
      </c>
      <c r="G551" t="s">
        <v>46</v>
      </c>
    </row>
    <row r="552" spans="1:7" x14ac:dyDescent="0.35">
      <c r="A552" t="s">
        <v>1909</v>
      </c>
      <c r="B552" s="4" t="s">
        <v>463</v>
      </c>
      <c r="C552">
        <v>1</v>
      </c>
      <c r="D552" s="7">
        <v>9</v>
      </c>
      <c r="E552">
        <v>1</v>
      </c>
      <c r="F552" t="s">
        <v>1321</v>
      </c>
      <c r="G552" t="s">
        <v>46</v>
      </c>
    </row>
    <row r="553" spans="1:7" x14ac:dyDescent="0.35">
      <c r="A553" t="s">
        <v>1910</v>
      </c>
      <c r="B553" s="4" t="s">
        <v>463</v>
      </c>
      <c r="C553">
        <v>1</v>
      </c>
      <c r="D553" s="7">
        <v>6</v>
      </c>
      <c r="E553">
        <v>2</v>
      </c>
      <c r="F553" t="s">
        <v>1321</v>
      </c>
      <c r="G553" t="s">
        <v>54</v>
      </c>
    </row>
    <row r="554" spans="1:7" x14ac:dyDescent="0.35">
      <c r="A554" t="s">
        <v>1911</v>
      </c>
      <c r="B554" s="4" t="s">
        <v>463</v>
      </c>
      <c r="C554">
        <v>4</v>
      </c>
      <c r="D554" s="7">
        <v>11</v>
      </c>
      <c r="E554">
        <v>1</v>
      </c>
      <c r="F554" t="s">
        <v>1324</v>
      </c>
      <c r="G554" t="s">
        <v>46</v>
      </c>
    </row>
    <row r="555" spans="1:7" x14ac:dyDescent="0.35">
      <c r="A555" t="s">
        <v>1912</v>
      </c>
      <c r="B555" s="4" t="s">
        <v>463</v>
      </c>
      <c r="C555">
        <v>5</v>
      </c>
      <c r="D555" s="7">
        <v>14</v>
      </c>
      <c r="E555">
        <v>1</v>
      </c>
      <c r="F555" t="s">
        <v>1324</v>
      </c>
      <c r="G555" t="s">
        <v>46</v>
      </c>
    </row>
    <row r="556" spans="1:7" x14ac:dyDescent="0.35">
      <c r="A556" t="s">
        <v>1913</v>
      </c>
      <c r="B556" s="4" t="s">
        <v>463</v>
      </c>
      <c r="C556">
        <v>6</v>
      </c>
      <c r="D556" s="7">
        <v>15</v>
      </c>
      <c r="E556">
        <v>1</v>
      </c>
      <c r="F556" t="s">
        <v>1324</v>
      </c>
      <c r="G556" t="s">
        <v>46</v>
      </c>
    </row>
    <row r="557" spans="1:7" x14ac:dyDescent="0.35">
      <c r="A557" t="s">
        <v>1914</v>
      </c>
      <c r="B557" s="4" t="s">
        <v>463</v>
      </c>
      <c r="C557">
        <v>9</v>
      </c>
      <c r="D557" s="7">
        <v>15</v>
      </c>
      <c r="E557">
        <v>1</v>
      </c>
      <c r="F557" t="s">
        <v>1324</v>
      </c>
      <c r="G557" t="s">
        <v>46</v>
      </c>
    </row>
    <row r="558" spans="1:7" x14ac:dyDescent="0.35">
      <c r="A558" t="s">
        <v>1915</v>
      </c>
      <c r="B558" s="4" t="s">
        <v>474</v>
      </c>
      <c r="C558">
        <v>1</v>
      </c>
      <c r="D558" s="7">
        <v>12</v>
      </c>
      <c r="E558">
        <v>1</v>
      </c>
      <c r="F558" t="s">
        <v>1321</v>
      </c>
      <c r="G558" t="s">
        <v>46</v>
      </c>
    </row>
    <row r="559" spans="1:7" x14ac:dyDescent="0.35">
      <c r="A559" t="s">
        <v>1916</v>
      </c>
      <c r="B559" s="4" t="s">
        <v>474</v>
      </c>
      <c r="C559">
        <v>4</v>
      </c>
      <c r="D559" s="7">
        <v>8</v>
      </c>
      <c r="E559">
        <v>1</v>
      </c>
      <c r="F559" t="s">
        <v>1324</v>
      </c>
      <c r="G559" t="s">
        <v>46</v>
      </c>
    </row>
    <row r="560" spans="1:7" x14ac:dyDescent="0.35">
      <c r="A560" t="s">
        <v>1917</v>
      </c>
      <c r="B560" s="4" t="s">
        <v>474</v>
      </c>
      <c r="C560">
        <v>5</v>
      </c>
      <c r="D560" s="7">
        <v>9</v>
      </c>
      <c r="E560">
        <v>1</v>
      </c>
      <c r="F560" t="s">
        <v>1324</v>
      </c>
      <c r="G560" t="s">
        <v>46</v>
      </c>
    </row>
    <row r="561" spans="1:7" x14ac:dyDescent="0.35">
      <c r="A561" t="s">
        <v>1918</v>
      </c>
      <c r="B561" s="4" t="s">
        <v>474</v>
      </c>
      <c r="C561">
        <v>6</v>
      </c>
      <c r="D561" s="7">
        <v>11</v>
      </c>
      <c r="E561">
        <v>1</v>
      </c>
      <c r="F561" t="s">
        <v>1324</v>
      </c>
      <c r="G561" t="s">
        <v>46</v>
      </c>
    </row>
    <row r="562" spans="1:7" x14ac:dyDescent="0.35">
      <c r="A562" t="s">
        <v>1919</v>
      </c>
      <c r="B562" s="4" t="s">
        <v>474</v>
      </c>
      <c r="C562">
        <v>9</v>
      </c>
      <c r="D562" s="7">
        <v>11</v>
      </c>
      <c r="E562">
        <v>1</v>
      </c>
      <c r="F562" t="s">
        <v>1324</v>
      </c>
      <c r="G562" t="s">
        <v>46</v>
      </c>
    </row>
    <row r="563" spans="1:7" x14ac:dyDescent="0.35">
      <c r="A563" t="s">
        <v>1920</v>
      </c>
      <c r="B563" s="4" t="s">
        <v>1921</v>
      </c>
      <c r="C563">
        <v>1</v>
      </c>
      <c r="D563" s="7">
        <v>3</v>
      </c>
      <c r="E563">
        <v>1</v>
      </c>
      <c r="F563" t="s">
        <v>1321</v>
      </c>
      <c r="G563" t="s">
        <v>46</v>
      </c>
    </row>
    <row r="564" spans="1:7" x14ac:dyDescent="0.35">
      <c r="A564" t="s">
        <v>1922</v>
      </c>
      <c r="B564" s="4" t="s">
        <v>1921</v>
      </c>
      <c r="C564">
        <v>1</v>
      </c>
      <c r="D564" s="7">
        <v>1</v>
      </c>
      <c r="E564">
        <v>2</v>
      </c>
      <c r="F564" t="s">
        <v>1321</v>
      </c>
      <c r="G564" t="s">
        <v>54</v>
      </c>
    </row>
    <row r="565" spans="1:7" x14ac:dyDescent="0.35">
      <c r="A565" t="s">
        <v>1923</v>
      </c>
      <c r="B565" s="4" t="s">
        <v>1921</v>
      </c>
      <c r="C565">
        <v>4</v>
      </c>
      <c r="D565" s="7">
        <v>5</v>
      </c>
      <c r="E565">
        <v>1</v>
      </c>
      <c r="F565" t="s">
        <v>1324</v>
      </c>
      <c r="G565" t="s">
        <v>46</v>
      </c>
    </row>
    <row r="566" spans="1:7" x14ac:dyDescent="0.35">
      <c r="A566" t="s">
        <v>1924</v>
      </c>
      <c r="B566" s="4" t="s">
        <v>1921</v>
      </c>
      <c r="C566">
        <v>5</v>
      </c>
      <c r="D566" s="7">
        <v>4</v>
      </c>
      <c r="E566">
        <v>1</v>
      </c>
      <c r="F566" t="s">
        <v>1324</v>
      </c>
      <c r="G566" t="s">
        <v>46</v>
      </c>
    </row>
    <row r="567" spans="1:7" x14ac:dyDescent="0.35">
      <c r="A567" t="s">
        <v>1925</v>
      </c>
      <c r="B567" s="4" t="s">
        <v>1921</v>
      </c>
      <c r="C567">
        <v>6</v>
      </c>
      <c r="D567" s="7">
        <v>7</v>
      </c>
      <c r="E567">
        <v>1</v>
      </c>
      <c r="F567" t="s">
        <v>1324</v>
      </c>
      <c r="G567" t="s">
        <v>46</v>
      </c>
    </row>
    <row r="568" spans="1:7" x14ac:dyDescent="0.35">
      <c r="A568" t="s">
        <v>1926</v>
      </c>
      <c r="B568" s="4" t="s">
        <v>1921</v>
      </c>
      <c r="C568">
        <v>9</v>
      </c>
      <c r="D568" s="7">
        <v>7</v>
      </c>
      <c r="E568">
        <v>1</v>
      </c>
      <c r="F568" t="s">
        <v>1324</v>
      </c>
      <c r="G568" t="s">
        <v>46</v>
      </c>
    </row>
    <row r="569" spans="1:7" x14ac:dyDescent="0.35">
      <c r="A569" t="s">
        <v>1927</v>
      </c>
      <c r="B569" s="4" t="s">
        <v>477</v>
      </c>
      <c r="C569">
        <v>1</v>
      </c>
      <c r="D569" s="7">
        <v>4</v>
      </c>
      <c r="E569">
        <v>1</v>
      </c>
      <c r="F569" t="s">
        <v>1321</v>
      </c>
      <c r="G569" t="s">
        <v>46</v>
      </c>
    </row>
    <row r="570" spans="1:7" x14ac:dyDescent="0.35">
      <c r="A570" t="s">
        <v>1928</v>
      </c>
      <c r="B570" s="4" t="s">
        <v>477</v>
      </c>
      <c r="C570">
        <v>1</v>
      </c>
      <c r="D570" s="7">
        <v>1</v>
      </c>
      <c r="E570">
        <v>2</v>
      </c>
      <c r="F570" t="s">
        <v>1321</v>
      </c>
      <c r="G570" t="s">
        <v>54</v>
      </c>
    </row>
    <row r="571" spans="1:7" x14ac:dyDescent="0.35">
      <c r="A571" t="s">
        <v>1929</v>
      </c>
      <c r="B571" s="4" t="s">
        <v>477</v>
      </c>
      <c r="C571">
        <v>4</v>
      </c>
      <c r="D571" s="7">
        <v>7</v>
      </c>
      <c r="E571">
        <v>1</v>
      </c>
      <c r="F571" t="s">
        <v>1324</v>
      </c>
      <c r="G571" t="s">
        <v>46</v>
      </c>
    </row>
    <row r="572" spans="1:7" x14ac:dyDescent="0.35">
      <c r="A572" t="s">
        <v>1930</v>
      </c>
      <c r="B572" s="4" t="s">
        <v>477</v>
      </c>
      <c r="C572">
        <v>5</v>
      </c>
      <c r="D572" s="7">
        <v>4</v>
      </c>
      <c r="E572">
        <v>1</v>
      </c>
      <c r="F572" t="s">
        <v>1324</v>
      </c>
      <c r="G572" t="s">
        <v>46</v>
      </c>
    </row>
    <row r="573" spans="1:7" x14ac:dyDescent="0.35">
      <c r="A573" t="s">
        <v>1931</v>
      </c>
      <c r="B573" s="4" t="s">
        <v>477</v>
      </c>
      <c r="C573">
        <v>6</v>
      </c>
      <c r="D573" s="7">
        <v>5</v>
      </c>
      <c r="E573">
        <v>1</v>
      </c>
      <c r="F573" t="s">
        <v>1324</v>
      </c>
      <c r="G573" t="s">
        <v>46</v>
      </c>
    </row>
    <row r="574" spans="1:7" x14ac:dyDescent="0.35">
      <c r="A574" t="s">
        <v>1932</v>
      </c>
      <c r="B574" s="4" t="s">
        <v>477</v>
      </c>
      <c r="C574">
        <v>9</v>
      </c>
      <c r="D574" s="7">
        <v>6</v>
      </c>
      <c r="E574">
        <v>1</v>
      </c>
      <c r="F574" t="s">
        <v>1324</v>
      </c>
      <c r="G574" t="s">
        <v>46</v>
      </c>
    </row>
    <row r="575" spans="1:7" x14ac:dyDescent="0.35">
      <c r="A575" t="s">
        <v>1933</v>
      </c>
      <c r="B575" s="4" t="s">
        <v>479</v>
      </c>
      <c r="C575">
        <v>1</v>
      </c>
      <c r="D575" s="7">
        <v>12</v>
      </c>
      <c r="E575">
        <v>1</v>
      </c>
      <c r="F575" t="s">
        <v>1321</v>
      </c>
      <c r="G575" t="s">
        <v>46</v>
      </c>
    </row>
    <row r="576" spans="1:7" x14ac:dyDescent="0.35">
      <c r="A576" t="s">
        <v>1934</v>
      </c>
      <c r="B576" s="4" t="s">
        <v>479</v>
      </c>
      <c r="C576">
        <v>1</v>
      </c>
      <c r="D576" s="7">
        <v>4</v>
      </c>
      <c r="E576">
        <v>2</v>
      </c>
      <c r="F576" t="s">
        <v>1321</v>
      </c>
      <c r="G576" t="s">
        <v>54</v>
      </c>
    </row>
    <row r="577" spans="1:7" x14ac:dyDescent="0.35">
      <c r="A577" t="s">
        <v>1935</v>
      </c>
      <c r="B577" s="4" t="s">
        <v>479</v>
      </c>
      <c r="C577">
        <v>4</v>
      </c>
      <c r="D577" s="7">
        <v>11</v>
      </c>
      <c r="E577">
        <v>1</v>
      </c>
      <c r="F577" t="s">
        <v>1324</v>
      </c>
      <c r="G577" t="s">
        <v>46</v>
      </c>
    </row>
    <row r="578" spans="1:7" x14ac:dyDescent="0.35">
      <c r="A578" t="s">
        <v>1936</v>
      </c>
      <c r="B578" s="4" t="s">
        <v>479</v>
      </c>
      <c r="C578">
        <v>5</v>
      </c>
      <c r="D578" s="7">
        <v>10</v>
      </c>
      <c r="E578">
        <v>1</v>
      </c>
      <c r="F578" t="s">
        <v>1324</v>
      </c>
      <c r="G578" t="s">
        <v>46</v>
      </c>
    </row>
    <row r="579" spans="1:7" x14ac:dyDescent="0.35">
      <c r="A579" t="s">
        <v>1937</v>
      </c>
      <c r="B579" s="4" t="s">
        <v>479</v>
      </c>
      <c r="C579">
        <v>6</v>
      </c>
      <c r="D579" s="7">
        <v>12</v>
      </c>
      <c r="E579">
        <v>1</v>
      </c>
      <c r="F579" t="s">
        <v>1324</v>
      </c>
      <c r="G579" t="s">
        <v>46</v>
      </c>
    </row>
    <row r="580" spans="1:7" x14ac:dyDescent="0.35">
      <c r="A580" t="s">
        <v>1938</v>
      </c>
      <c r="B580" s="4" t="s">
        <v>479</v>
      </c>
      <c r="C580">
        <v>9</v>
      </c>
      <c r="D580" s="7">
        <v>10</v>
      </c>
      <c r="E580">
        <v>1</v>
      </c>
      <c r="F580" t="s">
        <v>1324</v>
      </c>
      <c r="G580" t="s">
        <v>46</v>
      </c>
    </row>
    <row r="581" spans="1:7" x14ac:dyDescent="0.35">
      <c r="A581" t="s">
        <v>1939</v>
      </c>
      <c r="B581" s="4" t="s">
        <v>489</v>
      </c>
      <c r="C581">
        <v>1</v>
      </c>
      <c r="D581" s="7">
        <v>9</v>
      </c>
      <c r="E581">
        <v>1</v>
      </c>
      <c r="F581" t="s">
        <v>1321</v>
      </c>
      <c r="G581" t="s">
        <v>46</v>
      </c>
    </row>
    <row r="582" spans="1:7" x14ac:dyDescent="0.35">
      <c r="A582" t="s">
        <v>1940</v>
      </c>
      <c r="B582" s="4" t="s">
        <v>489</v>
      </c>
      <c r="C582">
        <v>4</v>
      </c>
      <c r="D582" s="7">
        <v>12</v>
      </c>
      <c r="E582">
        <v>1</v>
      </c>
      <c r="F582" t="s">
        <v>1324</v>
      </c>
      <c r="G582" t="s">
        <v>46</v>
      </c>
    </row>
    <row r="583" spans="1:7" x14ac:dyDescent="0.35">
      <c r="A583" t="s">
        <v>1941</v>
      </c>
      <c r="B583" s="4" t="s">
        <v>489</v>
      </c>
      <c r="C583">
        <v>5</v>
      </c>
      <c r="D583" s="7">
        <v>15</v>
      </c>
      <c r="E583">
        <v>1</v>
      </c>
      <c r="F583" t="s">
        <v>1324</v>
      </c>
      <c r="G583" t="s">
        <v>46</v>
      </c>
    </row>
    <row r="584" spans="1:7" x14ac:dyDescent="0.35">
      <c r="A584" t="s">
        <v>1942</v>
      </c>
      <c r="B584" s="4" t="s">
        <v>489</v>
      </c>
      <c r="C584">
        <v>6</v>
      </c>
      <c r="D584" s="7">
        <v>9</v>
      </c>
      <c r="E584">
        <v>1</v>
      </c>
      <c r="F584" t="s">
        <v>1324</v>
      </c>
      <c r="G584" t="s">
        <v>46</v>
      </c>
    </row>
    <row r="585" spans="1:7" x14ac:dyDescent="0.35">
      <c r="A585" t="s">
        <v>1943</v>
      </c>
      <c r="B585" s="4" t="s">
        <v>489</v>
      </c>
      <c r="C585">
        <v>9</v>
      </c>
      <c r="D585" s="7">
        <v>15</v>
      </c>
      <c r="E585">
        <v>1</v>
      </c>
      <c r="F585" t="s">
        <v>1324</v>
      </c>
      <c r="G585" t="s">
        <v>46</v>
      </c>
    </row>
    <row r="586" spans="1:7" x14ac:dyDescent="0.35">
      <c r="A586" t="s">
        <v>1944</v>
      </c>
      <c r="B586" s="4" t="s">
        <v>494</v>
      </c>
      <c r="C586">
        <v>1</v>
      </c>
      <c r="D586" s="7">
        <v>11</v>
      </c>
      <c r="E586">
        <v>1</v>
      </c>
      <c r="F586" t="s">
        <v>1321</v>
      </c>
      <c r="G586" t="s">
        <v>46</v>
      </c>
    </row>
    <row r="587" spans="1:7" x14ac:dyDescent="0.35">
      <c r="A587" t="s">
        <v>1945</v>
      </c>
      <c r="B587" s="4" t="s">
        <v>494</v>
      </c>
      <c r="C587">
        <v>4</v>
      </c>
      <c r="D587" s="7">
        <v>15</v>
      </c>
      <c r="E587">
        <v>1</v>
      </c>
      <c r="F587" t="s">
        <v>1324</v>
      </c>
      <c r="G587" t="s">
        <v>46</v>
      </c>
    </row>
    <row r="588" spans="1:7" x14ac:dyDescent="0.35">
      <c r="A588" t="s">
        <v>1946</v>
      </c>
      <c r="B588" s="4" t="s">
        <v>494</v>
      </c>
      <c r="C588">
        <v>5</v>
      </c>
      <c r="D588" s="7">
        <v>15</v>
      </c>
      <c r="E588">
        <v>1</v>
      </c>
      <c r="F588" t="s">
        <v>1324</v>
      </c>
      <c r="G588" t="s">
        <v>46</v>
      </c>
    </row>
    <row r="589" spans="1:7" x14ac:dyDescent="0.35">
      <c r="A589" t="s">
        <v>1947</v>
      </c>
      <c r="B589" s="4" t="s">
        <v>494</v>
      </c>
      <c r="C589">
        <v>6</v>
      </c>
      <c r="D589" s="7">
        <v>9</v>
      </c>
      <c r="E589">
        <v>1</v>
      </c>
      <c r="F589" t="s">
        <v>1324</v>
      </c>
      <c r="G589" t="s">
        <v>46</v>
      </c>
    </row>
    <row r="590" spans="1:7" x14ac:dyDescent="0.35">
      <c r="A590" t="s">
        <v>1948</v>
      </c>
      <c r="B590" s="4" t="s">
        <v>494</v>
      </c>
      <c r="C590">
        <v>9</v>
      </c>
      <c r="D590" s="7">
        <v>8</v>
      </c>
      <c r="E590">
        <v>1</v>
      </c>
      <c r="F590" t="s">
        <v>1324</v>
      </c>
      <c r="G590" t="s">
        <v>46</v>
      </c>
    </row>
    <row r="591" spans="1:7" x14ac:dyDescent="0.35">
      <c r="A591" t="s">
        <v>1949</v>
      </c>
      <c r="B591" s="4" t="s">
        <v>508</v>
      </c>
      <c r="C591">
        <v>4</v>
      </c>
      <c r="D591" s="7">
        <v>8</v>
      </c>
      <c r="E591">
        <v>1</v>
      </c>
      <c r="F591" t="s">
        <v>1324</v>
      </c>
      <c r="G591" t="s">
        <v>46</v>
      </c>
    </row>
    <row r="592" spans="1:7" x14ac:dyDescent="0.35">
      <c r="A592" t="s">
        <v>1950</v>
      </c>
      <c r="B592" s="4" t="s">
        <v>508</v>
      </c>
      <c r="C592">
        <v>5</v>
      </c>
      <c r="D592" s="7">
        <v>9</v>
      </c>
      <c r="E592">
        <v>1</v>
      </c>
      <c r="F592" t="s">
        <v>1324</v>
      </c>
      <c r="G592" t="s">
        <v>46</v>
      </c>
    </row>
    <row r="593" spans="1:7" x14ac:dyDescent="0.35">
      <c r="A593" t="s">
        <v>1951</v>
      </c>
      <c r="B593" s="4" t="s">
        <v>508</v>
      </c>
      <c r="C593">
        <v>6</v>
      </c>
      <c r="D593" s="7">
        <v>11</v>
      </c>
      <c r="E593">
        <v>1</v>
      </c>
      <c r="F593" t="s">
        <v>1324</v>
      </c>
      <c r="G593" t="s">
        <v>46</v>
      </c>
    </row>
    <row r="594" spans="1:7" x14ac:dyDescent="0.35">
      <c r="A594" t="s">
        <v>1952</v>
      </c>
      <c r="B594" s="4" t="s">
        <v>508</v>
      </c>
      <c r="C594">
        <v>9</v>
      </c>
      <c r="D594" s="7">
        <v>8</v>
      </c>
      <c r="E594">
        <v>1</v>
      </c>
      <c r="F594" t="s">
        <v>1324</v>
      </c>
      <c r="G594" t="s">
        <v>46</v>
      </c>
    </row>
    <row r="595" spans="1:7" x14ac:dyDescent="0.35">
      <c r="A595" t="s">
        <v>1953</v>
      </c>
      <c r="B595" s="4" t="s">
        <v>514</v>
      </c>
      <c r="C595">
        <v>1</v>
      </c>
      <c r="D595" s="7">
        <v>5</v>
      </c>
      <c r="E595">
        <v>2</v>
      </c>
      <c r="F595" t="s">
        <v>1321</v>
      </c>
      <c r="G595" t="s">
        <v>54</v>
      </c>
    </row>
    <row r="596" spans="1:7" x14ac:dyDescent="0.35">
      <c r="A596" t="s">
        <v>1954</v>
      </c>
      <c r="B596" s="4" t="s">
        <v>514</v>
      </c>
      <c r="C596">
        <v>4</v>
      </c>
      <c r="D596" s="7">
        <v>10</v>
      </c>
      <c r="E596">
        <v>1</v>
      </c>
      <c r="F596" t="s">
        <v>1324</v>
      </c>
      <c r="G596" t="s">
        <v>46</v>
      </c>
    </row>
    <row r="597" spans="1:7" x14ac:dyDescent="0.35">
      <c r="A597" t="s">
        <v>1955</v>
      </c>
      <c r="B597" s="4" t="s">
        <v>514</v>
      </c>
      <c r="C597">
        <v>5</v>
      </c>
      <c r="D597" s="7">
        <v>15</v>
      </c>
      <c r="E597">
        <v>1</v>
      </c>
      <c r="F597" t="s">
        <v>1324</v>
      </c>
      <c r="G597" t="s">
        <v>46</v>
      </c>
    </row>
    <row r="598" spans="1:7" x14ac:dyDescent="0.35">
      <c r="A598" t="s">
        <v>1956</v>
      </c>
      <c r="B598" s="4" t="s">
        <v>514</v>
      </c>
      <c r="C598">
        <v>6</v>
      </c>
      <c r="D598" s="7">
        <v>15</v>
      </c>
      <c r="E598">
        <v>1</v>
      </c>
      <c r="F598" t="s">
        <v>1324</v>
      </c>
      <c r="G598" t="s">
        <v>46</v>
      </c>
    </row>
    <row r="599" spans="1:7" x14ac:dyDescent="0.35">
      <c r="A599" t="s">
        <v>1957</v>
      </c>
      <c r="B599" s="4" t="s">
        <v>514</v>
      </c>
      <c r="C599">
        <v>9</v>
      </c>
      <c r="D599" s="7">
        <v>12</v>
      </c>
      <c r="E599">
        <v>1</v>
      </c>
      <c r="F599" t="s">
        <v>1324</v>
      </c>
      <c r="G599" t="s">
        <v>46</v>
      </c>
    </row>
    <row r="600" spans="1:7" x14ac:dyDescent="0.35">
      <c r="A600" t="s">
        <v>1958</v>
      </c>
      <c r="B600" s="4" t="s">
        <v>519</v>
      </c>
      <c r="C600">
        <v>1</v>
      </c>
      <c r="D600" s="7">
        <v>4</v>
      </c>
      <c r="E600">
        <v>1</v>
      </c>
      <c r="F600" t="s">
        <v>1321</v>
      </c>
      <c r="G600" t="s">
        <v>46</v>
      </c>
    </row>
    <row r="601" spans="1:7" x14ac:dyDescent="0.35">
      <c r="A601" t="s">
        <v>1959</v>
      </c>
      <c r="B601" s="4" t="s">
        <v>519</v>
      </c>
      <c r="C601">
        <v>1</v>
      </c>
      <c r="D601" s="7">
        <v>1</v>
      </c>
      <c r="E601">
        <v>2</v>
      </c>
      <c r="F601" t="s">
        <v>1321</v>
      </c>
      <c r="G601" t="s">
        <v>54</v>
      </c>
    </row>
    <row r="602" spans="1:7" x14ac:dyDescent="0.35">
      <c r="A602" t="s">
        <v>1960</v>
      </c>
      <c r="B602" s="4" t="s">
        <v>519</v>
      </c>
      <c r="C602">
        <v>4</v>
      </c>
      <c r="D602" s="7">
        <v>7</v>
      </c>
      <c r="E602">
        <v>1</v>
      </c>
      <c r="F602" t="s">
        <v>1324</v>
      </c>
      <c r="G602" t="s">
        <v>46</v>
      </c>
    </row>
    <row r="603" spans="1:7" x14ac:dyDescent="0.35">
      <c r="A603" t="s">
        <v>1961</v>
      </c>
      <c r="B603" s="4" t="s">
        <v>519</v>
      </c>
      <c r="C603">
        <v>5</v>
      </c>
      <c r="D603" s="7">
        <v>6</v>
      </c>
      <c r="E603">
        <v>1</v>
      </c>
      <c r="F603" t="s">
        <v>1324</v>
      </c>
      <c r="G603" t="s">
        <v>46</v>
      </c>
    </row>
    <row r="604" spans="1:7" x14ac:dyDescent="0.35">
      <c r="A604" t="s">
        <v>1962</v>
      </c>
      <c r="B604" s="4" t="s">
        <v>519</v>
      </c>
      <c r="C604">
        <v>6</v>
      </c>
      <c r="D604" s="7">
        <v>7</v>
      </c>
      <c r="E604">
        <v>1</v>
      </c>
      <c r="F604" t="s">
        <v>1324</v>
      </c>
      <c r="G604" t="s">
        <v>46</v>
      </c>
    </row>
    <row r="605" spans="1:7" x14ac:dyDescent="0.35">
      <c r="A605" t="s">
        <v>1963</v>
      </c>
      <c r="B605" s="4" t="s">
        <v>519</v>
      </c>
      <c r="C605">
        <v>9</v>
      </c>
      <c r="D605" s="7">
        <v>6</v>
      </c>
      <c r="E605">
        <v>1</v>
      </c>
      <c r="F605" t="s">
        <v>1324</v>
      </c>
      <c r="G605" t="s">
        <v>46</v>
      </c>
    </row>
    <row r="606" spans="1:7" x14ac:dyDescent="0.35">
      <c r="A606" t="s">
        <v>1964</v>
      </c>
      <c r="B606" s="4" t="s">
        <v>523</v>
      </c>
      <c r="C606">
        <v>1</v>
      </c>
      <c r="D606" s="7">
        <v>3</v>
      </c>
      <c r="E606">
        <v>1</v>
      </c>
      <c r="F606" t="s">
        <v>1321</v>
      </c>
      <c r="G606" t="s">
        <v>46</v>
      </c>
    </row>
    <row r="607" spans="1:7" x14ac:dyDescent="0.35">
      <c r="A607" t="s">
        <v>1965</v>
      </c>
      <c r="B607" s="4" t="s">
        <v>523</v>
      </c>
      <c r="C607">
        <v>4</v>
      </c>
      <c r="D607" s="7">
        <v>7</v>
      </c>
      <c r="E607">
        <v>1</v>
      </c>
      <c r="F607" t="s">
        <v>1324</v>
      </c>
      <c r="G607" t="s">
        <v>46</v>
      </c>
    </row>
    <row r="608" spans="1:7" x14ac:dyDescent="0.35">
      <c r="A608" t="s">
        <v>1966</v>
      </c>
      <c r="B608" s="4" t="s">
        <v>523</v>
      </c>
      <c r="C608">
        <v>5</v>
      </c>
      <c r="D608" s="7">
        <v>6</v>
      </c>
      <c r="E608">
        <v>1</v>
      </c>
      <c r="F608" t="s">
        <v>1324</v>
      </c>
      <c r="G608" t="s">
        <v>46</v>
      </c>
    </row>
    <row r="609" spans="1:7" x14ac:dyDescent="0.35">
      <c r="A609" t="s">
        <v>1967</v>
      </c>
      <c r="B609" s="4" t="s">
        <v>523</v>
      </c>
      <c r="C609">
        <v>6</v>
      </c>
      <c r="D609" s="7">
        <v>7</v>
      </c>
      <c r="E609">
        <v>1</v>
      </c>
      <c r="F609" t="s">
        <v>1324</v>
      </c>
      <c r="G609" t="s">
        <v>46</v>
      </c>
    </row>
    <row r="610" spans="1:7" x14ac:dyDescent="0.35">
      <c r="A610" t="s">
        <v>1968</v>
      </c>
      <c r="B610" s="4" t="s">
        <v>523</v>
      </c>
      <c r="C610">
        <v>9</v>
      </c>
      <c r="D610" s="7">
        <v>4</v>
      </c>
      <c r="E610">
        <v>1</v>
      </c>
      <c r="F610" t="s">
        <v>1324</v>
      </c>
      <c r="G610" t="s">
        <v>46</v>
      </c>
    </row>
    <row r="611" spans="1:7" x14ac:dyDescent="0.35">
      <c r="A611" t="s">
        <v>1969</v>
      </c>
      <c r="B611" s="4" t="s">
        <v>526</v>
      </c>
      <c r="C611">
        <v>1</v>
      </c>
      <c r="D611" s="7">
        <v>10</v>
      </c>
      <c r="E611">
        <v>1</v>
      </c>
      <c r="F611" t="s">
        <v>1321</v>
      </c>
      <c r="G611" t="s">
        <v>46</v>
      </c>
    </row>
    <row r="612" spans="1:7" x14ac:dyDescent="0.35">
      <c r="A612" t="s">
        <v>1970</v>
      </c>
      <c r="B612" s="4" t="s">
        <v>526</v>
      </c>
      <c r="C612">
        <v>1</v>
      </c>
      <c r="D612" s="7">
        <v>3</v>
      </c>
      <c r="E612">
        <v>2</v>
      </c>
      <c r="F612" t="s">
        <v>1321</v>
      </c>
      <c r="G612" t="s">
        <v>54</v>
      </c>
    </row>
    <row r="613" spans="1:7" x14ac:dyDescent="0.35">
      <c r="A613" t="s">
        <v>1971</v>
      </c>
      <c r="B613" s="4" t="s">
        <v>526</v>
      </c>
      <c r="C613">
        <v>4</v>
      </c>
      <c r="D613" s="7">
        <v>14</v>
      </c>
      <c r="E613">
        <v>1</v>
      </c>
      <c r="F613" t="s">
        <v>1324</v>
      </c>
      <c r="G613" t="s">
        <v>46</v>
      </c>
    </row>
    <row r="614" spans="1:7" x14ac:dyDescent="0.35">
      <c r="A614" t="s">
        <v>1972</v>
      </c>
      <c r="B614" s="4" t="s">
        <v>526</v>
      </c>
      <c r="C614">
        <v>5</v>
      </c>
      <c r="D614" s="7">
        <v>8</v>
      </c>
      <c r="E614">
        <v>1</v>
      </c>
      <c r="F614" t="s">
        <v>1324</v>
      </c>
      <c r="G614" t="s">
        <v>46</v>
      </c>
    </row>
    <row r="615" spans="1:7" x14ac:dyDescent="0.35">
      <c r="A615" t="s">
        <v>1973</v>
      </c>
      <c r="B615" s="4" t="s">
        <v>526</v>
      </c>
      <c r="C615">
        <v>6</v>
      </c>
      <c r="D615" s="7">
        <v>15</v>
      </c>
      <c r="E615">
        <v>1</v>
      </c>
      <c r="F615" t="s">
        <v>1324</v>
      </c>
      <c r="G615" t="s">
        <v>46</v>
      </c>
    </row>
    <row r="616" spans="1:7" x14ac:dyDescent="0.35">
      <c r="A616" t="s">
        <v>1974</v>
      </c>
      <c r="B616" s="4" t="s">
        <v>526</v>
      </c>
      <c r="C616">
        <v>9</v>
      </c>
      <c r="D616" s="7">
        <v>14</v>
      </c>
      <c r="E616">
        <v>1</v>
      </c>
      <c r="F616" t="s">
        <v>1324</v>
      </c>
      <c r="G616" t="s">
        <v>46</v>
      </c>
    </row>
    <row r="617" spans="1:7" x14ac:dyDescent="0.35">
      <c r="A617" t="s">
        <v>1975</v>
      </c>
      <c r="B617" s="4" t="s">
        <v>1976</v>
      </c>
      <c r="C617">
        <v>1</v>
      </c>
      <c r="D617" s="7">
        <v>12</v>
      </c>
      <c r="E617">
        <v>1</v>
      </c>
      <c r="F617" t="s">
        <v>1321</v>
      </c>
      <c r="G617" t="s">
        <v>46</v>
      </c>
    </row>
    <row r="618" spans="1:7" x14ac:dyDescent="0.35">
      <c r="A618" t="s">
        <v>1977</v>
      </c>
      <c r="B618" s="4" t="s">
        <v>1976</v>
      </c>
      <c r="C618">
        <v>1</v>
      </c>
      <c r="D618" s="7">
        <v>6</v>
      </c>
      <c r="E618">
        <v>2</v>
      </c>
      <c r="F618" t="s">
        <v>1321</v>
      </c>
      <c r="G618" t="s">
        <v>54</v>
      </c>
    </row>
    <row r="619" spans="1:7" x14ac:dyDescent="0.35">
      <c r="A619" t="s">
        <v>1978</v>
      </c>
      <c r="B619" s="4" t="s">
        <v>1976</v>
      </c>
      <c r="C619">
        <v>4</v>
      </c>
      <c r="D619" s="7">
        <v>8</v>
      </c>
      <c r="E619">
        <v>1</v>
      </c>
      <c r="F619" t="s">
        <v>1324</v>
      </c>
      <c r="G619" t="s">
        <v>46</v>
      </c>
    </row>
    <row r="620" spans="1:7" x14ac:dyDescent="0.35">
      <c r="A620" t="s">
        <v>1979</v>
      </c>
      <c r="B620" s="4" t="s">
        <v>1976</v>
      </c>
      <c r="C620">
        <v>5</v>
      </c>
      <c r="D620" s="7">
        <v>11</v>
      </c>
      <c r="E620">
        <v>1</v>
      </c>
      <c r="F620" t="s">
        <v>1324</v>
      </c>
      <c r="G620" t="s">
        <v>46</v>
      </c>
    </row>
    <row r="621" spans="1:7" x14ac:dyDescent="0.35">
      <c r="A621" t="s">
        <v>1980</v>
      </c>
      <c r="B621" s="4" t="s">
        <v>1976</v>
      </c>
      <c r="C621">
        <v>6</v>
      </c>
      <c r="D621" s="7">
        <v>12</v>
      </c>
      <c r="E621">
        <v>1</v>
      </c>
      <c r="F621" t="s">
        <v>1324</v>
      </c>
      <c r="G621" t="s">
        <v>46</v>
      </c>
    </row>
    <row r="622" spans="1:7" x14ac:dyDescent="0.35">
      <c r="A622" t="s">
        <v>1981</v>
      </c>
      <c r="B622" s="4" t="s">
        <v>1976</v>
      </c>
      <c r="C622">
        <v>9</v>
      </c>
      <c r="D622" s="7">
        <v>10</v>
      </c>
      <c r="E622">
        <v>1</v>
      </c>
      <c r="F622" t="s">
        <v>1324</v>
      </c>
      <c r="G622" t="s">
        <v>46</v>
      </c>
    </row>
    <row r="623" spans="1:7" x14ac:dyDescent="0.35">
      <c r="A623" t="s">
        <v>1982</v>
      </c>
      <c r="B623" s="4" t="s">
        <v>1983</v>
      </c>
      <c r="C623">
        <v>1</v>
      </c>
      <c r="D623" s="7">
        <v>6</v>
      </c>
      <c r="E623">
        <v>2</v>
      </c>
      <c r="F623" t="s">
        <v>1321</v>
      </c>
      <c r="G623" t="s">
        <v>54</v>
      </c>
    </row>
    <row r="624" spans="1:7" x14ac:dyDescent="0.35">
      <c r="A624" t="s">
        <v>1984</v>
      </c>
      <c r="B624" s="4" t="s">
        <v>1983</v>
      </c>
      <c r="C624">
        <v>4</v>
      </c>
      <c r="D624" s="7">
        <v>11</v>
      </c>
      <c r="E624">
        <v>1</v>
      </c>
      <c r="F624" t="s">
        <v>1324</v>
      </c>
      <c r="G624" t="s">
        <v>46</v>
      </c>
    </row>
    <row r="625" spans="1:7" x14ac:dyDescent="0.35">
      <c r="A625" t="s">
        <v>1985</v>
      </c>
      <c r="B625" s="4" t="s">
        <v>1983</v>
      </c>
      <c r="C625">
        <v>5</v>
      </c>
      <c r="D625" s="7">
        <v>10</v>
      </c>
      <c r="E625">
        <v>1</v>
      </c>
      <c r="F625" t="s">
        <v>1324</v>
      </c>
      <c r="G625" t="s">
        <v>46</v>
      </c>
    </row>
    <row r="626" spans="1:7" x14ac:dyDescent="0.35">
      <c r="A626" t="s">
        <v>1986</v>
      </c>
      <c r="B626" s="4" t="s">
        <v>1983</v>
      </c>
      <c r="C626">
        <v>6</v>
      </c>
      <c r="D626" s="7">
        <v>12</v>
      </c>
      <c r="E626">
        <v>1</v>
      </c>
      <c r="F626" t="s">
        <v>1324</v>
      </c>
      <c r="G626" t="s">
        <v>46</v>
      </c>
    </row>
    <row r="627" spans="1:7" x14ac:dyDescent="0.35">
      <c r="A627" t="s">
        <v>1987</v>
      </c>
      <c r="B627" s="4" t="s">
        <v>1983</v>
      </c>
      <c r="C627">
        <v>9</v>
      </c>
      <c r="D627" s="7">
        <v>8</v>
      </c>
      <c r="E627">
        <v>1</v>
      </c>
      <c r="F627" t="s">
        <v>1324</v>
      </c>
      <c r="G627" t="s">
        <v>46</v>
      </c>
    </row>
    <row r="628" spans="1:7" x14ac:dyDescent="0.35">
      <c r="A628" t="s">
        <v>1988</v>
      </c>
      <c r="B628" s="4" t="s">
        <v>1989</v>
      </c>
      <c r="C628">
        <v>1</v>
      </c>
      <c r="D628" s="7">
        <v>8</v>
      </c>
      <c r="E628">
        <v>1</v>
      </c>
      <c r="F628" t="s">
        <v>1321</v>
      </c>
      <c r="G628" t="s">
        <v>46</v>
      </c>
    </row>
    <row r="629" spans="1:7" x14ac:dyDescent="0.35">
      <c r="A629" t="s">
        <v>1990</v>
      </c>
      <c r="B629" s="4" t="s">
        <v>1989</v>
      </c>
      <c r="C629">
        <v>1</v>
      </c>
      <c r="D629" s="7">
        <v>3</v>
      </c>
      <c r="E629">
        <v>2</v>
      </c>
      <c r="F629" t="s">
        <v>1321</v>
      </c>
      <c r="G629" t="s">
        <v>54</v>
      </c>
    </row>
    <row r="630" spans="1:7" x14ac:dyDescent="0.35">
      <c r="A630" t="s">
        <v>1991</v>
      </c>
      <c r="B630" s="4" t="s">
        <v>1989</v>
      </c>
      <c r="C630">
        <v>4</v>
      </c>
      <c r="D630" s="7">
        <v>10</v>
      </c>
      <c r="E630">
        <v>1</v>
      </c>
      <c r="F630" t="s">
        <v>1324</v>
      </c>
      <c r="G630" t="s">
        <v>46</v>
      </c>
    </row>
    <row r="631" spans="1:7" x14ac:dyDescent="0.35">
      <c r="A631" t="s">
        <v>1992</v>
      </c>
      <c r="B631" s="4" t="s">
        <v>1989</v>
      </c>
      <c r="C631">
        <v>5</v>
      </c>
      <c r="D631" s="7">
        <v>15</v>
      </c>
      <c r="E631">
        <v>1</v>
      </c>
      <c r="F631" t="s">
        <v>1324</v>
      </c>
      <c r="G631" t="s">
        <v>46</v>
      </c>
    </row>
    <row r="632" spans="1:7" x14ac:dyDescent="0.35">
      <c r="A632" t="s">
        <v>1993</v>
      </c>
      <c r="B632" s="4" t="s">
        <v>1989</v>
      </c>
      <c r="C632">
        <v>6</v>
      </c>
      <c r="D632" s="7">
        <v>12</v>
      </c>
      <c r="E632">
        <v>1</v>
      </c>
      <c r="F632" t="s">
        <v>1324</v>
      </c>
      <c r="G632" t="s">
        <v>46</v>
      </c>
    </row>
    <row r="633" spans="1:7" x14ac:dyDescent="0.35">
      <c r="A633" t="s">
        <v>1994</v>
      </c>
      <c r="B633" s="4" t="s">
        <v>1989</v>
      </c>
      <c r="C633">
        <v>9</v>
      </c>
      <c r="D633" s="7">
        <v>12</v>
      </c>
      <c r="E633">
        <v>1</v>
      </c>
      <c r="F633" t="s">
        <v>1324</v>
      </c>
      <c r="G633" t="s">
        <v>46</v>
      </c>
    </row>
    <row r="634" spans="1:7" x14ac:dyDescent="0.35">
      <c r="A634" t="s">
        <v>1995</v>
      </c>
      <c r="B634" s="4" t="s">
        <v>1996</v>
      </c>
      <c r="C634">
        <v>1</v>
      </c>
      <c r="D634" s="7">
        <v>11</v>
      </c>
      <c r="E634">
        <v>1</v>
      </c>
      <c r="F634" t="s">
        <v>1321</v>
      </c>
      <c r="G634" t="s">
        <v>46</v>
      </c>
    </row>
    <row r="635" spans="1:7" x14ac:dyDescent="0.35">
      <c r="A635" t="s">
        <v>1997</v>
      </c>
      <c r="B635" s="4" t="s">
        <v>1996</v>
      </c>
      <c r="C635">
        <v>4</v>
      </c>
      <c r="D635" s="7">
        <v>10</v>
      </c>
      <c r="E635">
        <v>1</v>
      </c>
      <c r="F635" t="s">
        <v>1324</v>
      </c>
      <c r="G635" t="s">
        <v>46</v>
      </c>
    </row>
    <row r="636" spans="1:7" x14ac:dyDescent="0.35">
      <c r="A636" t="s">
        <v>1998</v>
      </c>
      <c r="B636" s="4" t="s">
        <v>1996</v>
      </c>
      <c r="C636">
        <v>5</v>
      </c>
      <c r="D636" s="7">
        <v>14</v>
      </c>
      <c r="E636">
        <v>1</v>
      </c>
      <c r="F636" t="s">
        <v>1324</v>
      </c>
      <c r="G636" t="s">
        <v>46</v>
      </c>
    </row>
    <row r="637" spans="1:7" x14ac:dyDescent="0.35">
      <c r="A637" t="s">
        <v>1999</v>
      </c>
      <c r="B637" s="4" t="s">
        <v>1996</v>
      </c>
      <c r="C637">
        <v>6</v>
      </c>
      <c r="D637" s="7">
        <v>11</v>
      </c>
      <c r="E637">
        <v>1</v>
      </c>
      <c r="F637" t="s">
        <v>1324</v>
      </c>
      <c r="G637" t="s">
        <v>46</v>
      </c>
    </row>
    <row r="638" spans="1:7" x14ac:dyDescent="0.35">
      <c r="A638" t="s">
        <v>2000</v>
      </c>
      <c r="B638" s="4" t="s">
        <v>1996</v>
      </c>
      <c r="C638">
        <v>9</v>
      </c>
      <c r="D638" s="7">
        <v>10</v>
      </c>
      <c r="E638">
        <v>1</v>
      </c>
      <c r="F638" t="s">
        <v>1324</v>
      </c>
      <c r="G638" t="s">
        <v>46</v>
      </c>
    </row>
    <row r="639" spans="1:7" x14ac:dyDescent="0.35">
      <c r="A639" t="s">
        <v>2001</v>
      </c>
      <c r="B639" s="4" t="s">
        <v>2002</v>
      </c>
      <c r="C639">
        <v>1</v>
      </c>
      <c r="D639" s="7">
        <v>1</v>
      </c>
      <c r="E639">
        <v>2</v>
      </c>
      <c r="F639" t="s">
        <v>1321</v>
      </c>
      <c r="G639" t="s">
        <v>54</v>
      </c>
    </row>
    <row r="640" spans="1:7" x14ac:dyDescent="0.35">
      <c r="A640" t="s">
        <v>2003</v>
      </c>
      <c r="B640" s="4" t="s">
        <v>2002</v>
      </c>
      <c r="C640">
        <v>4</v>
      </c>
      <c r="D640" s="7">
        <v>6</v>
      </c>
      <c r="E640">
        <v>1</v>
      </c>
      <c r="F640" t="s">
        <v>1324</v>
      </c>
      <c r="G640" t="s">
        <v>46</v>
      </c>
    </row>
    <row r="641" spans="1:7" x14ac:dyDescent="0.35">
      <c r="A641" t="s">
        <v>2004</v>
      </c>
      <c r="B641" s="4" t="s">
        <v>2002</v>
      </c>
      <c r="C641">
        <v>5</v>
      </c>
      <c r="D641" s="7">
        <v>4</v>
      </c>
      <c r="E641">
        <v>1</v>
      </c>
      <c r="F641" t="s">
        <v>1324</v>
      </c>
      <c r="G641" t="s">
        <v>46</v>
      </c>
    </row>
    <row r="642" spans="1:7" x14ac:dyDescent="0.35">
      <c r="A642" t="s">
        <v>2005</v>
      </c>
      <c r="B642" s="4" t="s">
        <v>2002</v>
      </c>
      <c r="C642">
        <v>6</v>
      </c>
      <c r="D642" s="7">
        <v>6</v>
      </c>
      <c r="E642">
        <v>1</v>
      </c>
      <c r="F642" t="s">
        <v>1324</v>
      </c>
      <c r="G642" t="s">
        <v>46</v>
      </c>
    </row>
    <row r="643" spans="1:7" x14ac:dyDescent="0.35">
      <c r="A643" t="s">
        <v>2006</v>
      </c>
      <c r="B643" s="4" t="s">
        <v>2002</v>
      </c>
      <c r="C643">
        <v>9</v>
      </c>
      <c r="D643" s="7">
        <v>6</v>
      </c>
      <c r="E643">
        <v>1</v>
      </c>
      <c r="F643" t="s">
        <v>1324</v>
      </c>
      <c r="G643" t="s">
        <v>46</v>
      </c>
    </row>
    <row r="644" spans="1:7" x14ac:dyDescent="0.35">
      <c r="A644" t="s">
        <v>2007</v>
      </c>
      <c r="B644" s="4" t="s">
        <v>2008</v>
      </c>
      <c r="C644">
        <v>1</v>
      </c>
      <c r="D644" s="7">
        <v>1</v>
      </c>
      <c r="E644">
        <v>2</v>
      </c>
      <c r="F644" t="s">
        <v>1321</v>
      </c>
      <c r="G644" t="s">
        <v>54</v>
      </c>
    </row>
    <row r="645" spans="1:7" x14ac:dyDescent="0.35">
      <c r="A645" t="s">
        <v>2009</v>
      </c>
      <c r="B645" s="4" t="s">
        <v>2008</v>
      </c>
      <c r="C645">
        <v>4</v>
      </c>
      <c r="D645" s="7">
        <v>7</v>
      </c>
      <c r="E645">
        <v>1</v>
      </c>
      <c r="F645" t="s">
        <v>1324</v>
      </c>
      <c r="G645" t="s">
        <v>46</v>
      </c>
    </row>
    <row r="646" spans="1:7" x14ac:dyDescent="0.35">
      <c r="A646" t="s">
        <v>2010</v>
      </c>
      <c r="B646" s="4" t="s">
        <v>2008</v>
      </c>
      <c r="C646">
        <v>5</v>
      </c>
      <c r="D646" s="7">
        <v>7</v>
      </c>
      <c r="E646">
        <v>1</v>
      </c>
      <c r="F646" t="s">
        <v>1324</v>
      </c>
      <c r="G646" t="s">
        <v>46</v>
      </c>
    </row>
    <row r="647" spans="1:7" x14ac:dyDescent="0.35">
      <c r="A647" t="s">
        <v>2011</v>
      </c>
      <c r="B647" s="4" t="s">
        <v>2008</v>
      </c>
      <c r="C647">
        <v>6</v>
      </c>
      <c r="D647" s="7">
        <v>6</v>
      </c>
      <c r="E647">
        <v>1</v>
      </c>
      <c r="F647" t="s">
        <v>1324</v>
      </c>
      <c r="G647" t="s">
        <v>46</v>
      </c>
    </row>
    <row r="648" spans="1:7" x14ac:dyDescent="0.35">
      <c r="A648" t="s">
        <v>2012</v>
      </c>
      <c r="B648" s="4" t="s">
        <v>2008</v>
      </c>
      <c r="C648">
        <v>9</v>
      </c>
      <c r="D648" s="7">
        <v>6</v>
      </c>
      <c r="E648">
        <v>1</v>
      </c>
      <c r="F648" t="s">
        <v>1324</v>
      </c>
      <c r="G648" t="s">
        <v>46</v>
      </c>
    </row>
    <row r="649" spans="1:7" x14ac:dyDescent="0.35">
      <c r="A649" t="s">
        <v>2013</v>
      </c>
      <c r="B649" s="4" t="s">
        <v>532</v>
      </c>
      <c r="C649">
        <v>1</v>
      </c>
      <c r="D649" s="7">
        <v>12</v>
      </c>
      <c r="E649">
        <v>1</v>
      </c>
      <c r="F649" t="s">
        <v>1321</v>
      </c>
      <c r="G649" t="s">
        <v>46</v>
      </c>
    </row>
    <row r="650" spans="1:7" x14ac:dyDescent="0.35">
      <c r="A650" t="s">
        <v>2014</v>
      </c>
      <c r="B650" s="4" t="s">
        <v>532</v>
      </c>
      <c r="C650">
        <v>1</v>
      </c>
      <c r="D650" s="7">
        <v>5</v>
      </c>
      <c r="E650">
        <v>2</v>
      </c>
      <c r="F650" t="s">
        <v>1321</v>
      </c>
      <c r="G650" t="s">
        <v>54</v>
      </c>
    </row>
    <row r="651" spans="1:7" x14ac:dyDescent="0.35">
      <c r="A651" t="s">
        <v>2015</v>
      </c>
      <c r="B651" s="4" t="s">
        <v>532</v>
      </c>
      <c r="C651">
        <v>4</v>
      </c>
      <c r="D651" s="7">
        <v>11</v>
      </c>
      <c r="E651">
        <v>1</v>
      </c>
      <c r="F651" t="s">
        <v>1324</v>
      </c>
      <c r="G651" t="s">
        <v>46</v>
      </c>
    </row>
    <row r="652" spans="1:7" x14ac:dyDescent="0.35">
      <c r="A652" t="s">
        <v>2016</v>
      </c>
      <c r="B652" s="4" t="s">
        <v>532</v>
      </c>
      <c r="C652">
        <v>5</v>
      </c>
      <c r="D652" s="7">
        <v>14</v>
      </c>
      <c r="E652">
        <v>1</v>
      </c>
      <c r="F652" t="s">
        <v>1324</v>
      </c>
      <c r="G652" t="s">
        <v>46</v>
      </c>
    </row>
    <row r="653" spans="1:7" x14ac:dyDescent="0.35">
      <c r="A653" t="s">
        <v>2017</v>
      </c>
      <c r="B653" s="4" t="s">
        <v>532</v>
      </c>
      <c r="C653">
        <v>6</v>
      </c>
      <c r="D653" s="7">
        <v>11</v>
      </c>
      <c r="E653">
        <v>1</v>
      </c>
      <c r="F653" t="s">
        <v>1324</v>
      </c>
      <c r="G653" t="s">
        <v>46</v>
      </c>
    </row>
    <row r="654" spans="1:7" x14ac:dyDescent="0.35">
      <c r="A654" t="s">
        <v>2018</v>
      </c>
      <c r="B654" s="4" t="s">
        <v>532</v>
      </c>
      <c r="C654">
        <v>9</v>
      </c>
      <c r="D654" s="7">
        <v>14</v>
      </c>
      <c r="E654">
        <v>1</v>
      </c>
      <c r="F654" t="s">
        <v>1324</v>
      </c>
      <c r="G654" t="s">
        <v>46</v>
      </c>
    </row>
    <row r="655" spans="1:7" x14ac:dyDescent="0.35">
      <c r="A655" t="s">
        <v>2019</v>
      </c>
      <c r="B655" s="4" t="s">
        <v>539</v>
      </c>
      <c r="C655">
        <v>1</v>
      </c>
      <c r="D655" s="7">
        <v>11</v>
      </c>
      <c r="E655">
        <v>1</v>
      </c>
      <c r="F655" t="s">
        <v>1321</v>
      </c>
      <c r="G655" t="s">
        <v>46</v>
      </c>
    </row>
    <row r="656" spans="1:7" x14ac:dyDescent="0.35">
      <c r="A656" t="s">
        <v>2020</v>
      </c>
      <c r="B656" s="4" t="s">
        <v>539</v>
      </c>
      <c r="C656">
        <v>4</v>
      </c>
      <c r="D656" s="7">
        <v>14</v>
      </c>
      <c r="E656">
        <v>1</v>
      </c>
      <c r="F656" t="s">
        <v>1324</v>
      </c>
      <c r="G656" t="s">
        <v>46</v>
      </c>
    </row>
    <row r="657" spans="1:7" x14ac:dyDescent="0.35">
      <c r="A657" t="s">
        <v>2021</v>
      </c>
      <c r="B657" s="4" t="s">
        <v>539</v>
      </c>
      <c r="C657">
        <v>5</v>
      </c>
      <c r="D657" s="7">
        <v>10</v>
      </c>
      <c r="E657">
        <v>1</v>
      </c>
      <c r="F657" t="s">
        <v>1324</v>
      </c>
      <c r="G657" t="s">
        <v>46</v>
      </c>
    </row>
    <row r="658" spans="1:7" x14ac:dyDescent="0.35">
      <c r="A658" t="s">
        <v>2022</v>
      </c>
      <c r="B658" s="4" t="s">
        <v>539</v>
      </c>
      <c r="C658">
        <v>6</v>
      </c>
      <c r="D658" s="7">
        <v>15</v>
      </c>
      <c r="E658">
        <v>1</v>
      </c>
      <c r="F658" t="s">
        <v>1324</v>
      </c>
      <c r="G658" t="s">
        <v>46</v>
      </c>
    </row>
    <row r="659" spans="1:7" x14ac:dyDescent="0.35">
      <c r="A659" t="s">
        <v>2023</v>
      </c>
      <c r="B659" s="4" t="s">
        <v>539</v>
      </c>
      <c r="C659">
        <v>9</v>
      </c>
      <c r="D659" s="7">
        <v>8</v>
      </c>
      <c r="E659">
        <v>1</v>
      </c>
      <c r="F659" t="s">
        <v>1324</v>
      </c>
      <c r="G659" t="s">
        <v>46</v>
      </c>
    </row>
    <row r="660" spans="1:7" x14ac:dyDescent="0.35">
      <c r="A660" t="s">
        <v>2024</v>
      </c>
      <c r="B660" s="4" t="s">
        <v>551</v>
      </c>
      <c r="C660">
        <v>1</v>
      </c>
      <c r="D660" s="7">
        <v>12</v>
      </c>
      <c r="E660">
        <v>1</v>
      </c>
      <c r="F660" t="s">
        <v>1321</v>
      </c>
      <c r="G660" t="s">
        <v>46</v>
      </c>
    </row>
    <row r="661" spans="1:7" x14ac:dyDescent="0.35">
      <c r="A661" t="s">
        <v>2025</v>
      </c>
      <c r="B661" s="4" t="s">
        <v>551</v>
      </c>
      <c r="C661">
        <v>1</v>
      </c>
      <c r="D661" s="7">
        <v>3</v>
      </c>
      <c r="E661">
        <v>2</v>
      </c>
      <c r="F661" t="s">
        <v>1321</v>
      </c>
      <c r="G661" t="s">
        <v>54</v>
      </c>
    </row>
    <row r="662" spans="1:7" x14ac:dyDescent="0.35">
      <c r="A662" t="s">
        <v>2026</v>
      </c>
      <c r="B662" s="4" t="s">
        <v>551</v>
      </c>
      <c r="C662">
        <v>4</v>
      </c>
      <c r="D662" s="7">
        <v>15</v>
      </c>
      <c r="E662">
        <v>1</v>
      </c>
      <c r="F662" t="s">
        <v>1324</v>
      </c>
      <c r="G662" t="s">
        <v>46</v>
      </c>
    </row>
    <row r="663" spans="1:7" x14ac:dyDescent="0.35">
      <c r="A663" t="s">
        <v>2027</v>
      </c>
      <c r="B663" s="4" t="s">
        <v>551</v>
      </c>
      <c r="C663">
        <v>5</v>
      </c>
      <c r="D663" s="7">
        <v>9</v>
      </c>
      <c r="E663">
        <v>1</v>
      </c>
      <c r="F663" t="s">
        <v>1324</v>
      </c>
      <c r="G663" t="s">
        <v>46</v>
      </c>
    </row>
    <row r="664" spans="1:7" x14ac:dyDescent="0.35">
      <c r="A664" t="s">
        <v>2028</v>
      </c>
      <c r="B664" s="4" t="s">
        <v>551</v>
      </c>
      <c r="C664">
        <v>6</v>
      </c>
      <c r="D664" s="7">
        <v>15</v>
      </c>
      <c r="E664">
        <v>1</v>
      </c>
      <c r="F664" t="s">
        <v>1324</v>
      </c>
      <c r="G664" t="s">
        <v>46</v>
      </c>
    </row>
    <row r="665" spans="1:7" x14ac:dyDescent="0.35">
      <c r="A665" t="s">
        <v>2029</v>
      </c>
      <c r="B665" s="4" t="s">
        <v>551</v>
      </c>
      <c r="C665">
        <v>9</v>
      </c>
      <c r="D665" s="7">
        <v>8</v>
      </c>
      <c r="E665">
        <v>1</v>
      </c>
      <c r="F665" t="s">
        <v>1324</v>
      </c>
      <c r="G665" t="s">
        <v>46</v>
      </c>
    </row>
    <row r="666" spans="1:7" x14ac:dyDescent="0.35">
      <c r="A666" t="s">
        <v>2030</v>
      </c>
      <c r="B666" s="4" t="s">
        <v>556</v>
      </c>
      <c r="C666">
        <v>1</v>
      </c>
      <c r="D666" s="7">
        <v>11</v>
      </c>
      <c r="E666">
        <v>1</v>
      </c>
      <c r="F666" t="s">
        <v>1321</v>
      </c>
      <c r="G666" t="s">
        <v>46</v>
      </c>
    </row>
    <row r="667" spans="1:7" x14ac:dyDescent="0.35">
      <c r="A667" t="s">
        <v>2031</v>
      </c>
      <c r="B667" s="4" t="s">
        <v>556</v>
      </c>
      <c r="C667">
        <v>4</v>
      </c>
      <c r="D667" s="7">
        <v>9</v>
      </c>
      <c r="E667">
        <v>1</v>
      </c>
      <c r="F667" t="s">
        <v>1324</v>
      </c>
      <c r="G667" t="s">
        <v>46</v>
      </c>
    </row>
    <row r="668" spans="1:7" x14ac:dyDescent="0.35">
      <c r="A668" t="s">
        <v>2032</v>
      </c>
      <c r="B668" s="4" t="s">
        <v>556</v>
      </c>
      <c r="C668">
        <v>5</v>
      </c>
      <c r="D668" s="7">
        <v>15</v>
      </c>
      <c r="E668">
        <v>1</v>
      </c>
      <c r="F668" t="s">
        <v>1324</v>
      </c>
      <c r="G668" t="s">
        <v>46</v>
      </c>
    </row>
    <row r="669" spans="1:7" x14ac:dyDescent="0.35">
      <c r="A669" t="s">
        <v>2033</v>
      </c>
      <c r="B669" s="4" t="s">
        <v>556</v>
      </c>
      <c r="C669">
        <v>6</v>
      </c>
      <c r="D669" s="7">
        <v>12</v>
      </c>
      <c r="E669">
        <v>1</v>
      </c>
      <c r="F669" t="s">
        <v>1324</v>
      </c>
      <c r="G669" t="s">
        <v>46</v>
      </c>
    </row>
    <row r="670" spans="1:7" x14ac:dyDescent="0.35">
      <c r="A670" t="s">
        <v>2034</v>
      </c>
      <c r="B670" s="4" t="s">
        <v>556</v>
      </c>
      <c r="C670">
        <v>9</v>
      </c>
      <c r="D670" s="7">
        <v>13</v>
      </c>
      <c r="E670">
        <v>1</v>
      </c>
      <c r="F670" t="s">
        <v>1324</v>
      </c>
      <c r="G670" t="s">
        <v>46</v>
      </c>
    </row>
    <row r="671" spans="1:7" x14ac:dyDescent="0.35">
      <c r="A671" t="s">
        <v>2035</v>
      </c>
      <c r="B671" s="4" t="s">
        <v>558</v>
      </c>
      <c r="C671">
        <v>1</v>
      </c>
      <c r="D671" s="7">
        <v>11</v>
      </c>
      <c r="E671">
        <v>1</v>
      </c>
      <c r="F671" t="s">
        <v>1321</v>
      </c>
      <c r="G671" t="s">
        <v>46</v>
      </c>
    </row>
    <row r="672" spans="1:7" x14ac:dyDescent="0.35">
      <c r="A672" t="s">
        <v>2036</v>
      </c>
      <c r="B672" s="4" t="s">
        <v>558</v>
      </c>
      <c r="C672">
        <v>1</v>
      </c>
      <c r="D672" s="7">
        <v>5</v>
      </c>
      <c r="E672">
        <v>2</v>
      </c>
      <c r="F672" t="s">
        <v>1321</v>
      </c>
      <c r="G672" t="s">
        <v>54</v>
      </c>
    </row>
    <row r="673" spans="1:7" x14ac:dyDescent="0.35">
      <c r="A673" t="s">
        <v>2037</v>
      </c>
      <c r="B673" s="4" t="s">
        <v>558</v>
      </c>
      <c r="C673">
        <v>4</v>
      </c>
      <c r="D673" s="7">
        <v>14</v>
      </c>
      <c r="E673">
        <v>1</v>
      </c>
      <c r="F673" t="s">
        <v>1324</v>
      </c>
      <c r="G673" t="s">
        <v>46</v>
      </c>
    </row>
    <row r="674" spans="1:7" x14ac:dyDescent="0.35">
      <c r="A674" t="s">
        <v>2038</v>
      </c>
      <c r="B674" s="4" t="s">
        <v>558</v>
      </c>
      <c r="C674">
        <v>5</v>
      </c>
      <c r="D674" s="7">
        <v>13</v>
      </c>
      <c r="E674">
        <v>1</v>
      </c>
      <c r="F674" t="s">
        <v>1324</v>
      </c>
      <c r="G674" t="s">
        <v>46</v>
      </c>
    </row>
    <row r="675" spans="1:7" x14ac:dyDescent="0.35">
      <c r="A675" t="s">
        <v>2039</v>
      </c>
      <c r="B675" s="4" t="s">
        <v>558</v>
      </c>
      <c r="C675">
        <v>6</v>
      </c>
      <c r="D675" s="7">
        <v>15</v>
      </c>
      <c r="E675">
        <v>1</v>
      </c>
      <c r="F675" t="s">
        <v>1324</v>
      </c>
      <c r="G675" t="s">
        <v>46</v>
      </c>
    </row>
    <row r="676" spans="1:7" x14ac:dyDescent="0.35">
      <c r="A676" t="s">
        <v>2040</v>
      </c>
      <c r="B676" s="4" t="s">
        <v>558</v>
      </c>
      <c r="C676">
        <v>9</v>
      </c>
      <c r="D676" s="7">
        <v>8</v>
      </c>
      <c r="E676">
        <v>1</v>
      </c>
      <c r="F676" t="s">
        <v>1324</v>
      </c>
      <c r="G676" t="s">
        <v>46</v>
      </c>
    </row>
    <row r="677" spans="1:7" x14ac:dyDescent="0.35">
      <c r="A677" t="s">
        <v>2041</v>
      </c>
      <c r="B677" s="4" t="s">
        <v>565</v>
      </c>
      <c r="C677">
        <v>1</v>
      </c>
      <c r="D677" s="7">
        <v>3</v>
      </c>
      <c r="E677">
        <v>1</v>
      </c>
      <c r="F677" t="s">
        <v>1321</v>
      </c>
      <c r="G677" t="s">
        <v>46</v>
      </c>
    </row>
    <row r="678" spans="1:7" x14ac:dyDescent="0.35">
      <c r="A678" t="s">
        <v>2042</v>
      </c>
      <c r="B678" s="4" t="s">
        <v>565</v>
      </c>
      <c r="C678">
        <v>1</v>
      </c>
      <c r="D678" s="7">
        <v>1</v>
      </c>
      <c r="E678">
        <v>2</v>
      </c>
      <c r="F678" t="s">
        <v>1321</v>
      </c>
      <c r="G678" t="s">
        <v>54</v>
      </c>
    </row>
    <row r="679" spans="1:7" x14ac:dyDescent="0.35">
      <c r="A679" t="s">
        <v>2043</v>
      </c>
      <c r="B679" s="4" t="s">
        <v>565</v>
      </c>
      <c r="C679">
        <v>4</v>
      </c>
      <c r="D679" s="7">
        <v>4</v>
      </c>
      <c r="E679">
        <v>1</v>
      </c>
      <c r="F679" t="s">
        <v>1324</v>
      </c>
      <c r="G679" t="s">
        <v>46</v>
      </c>
    </row>
    <row r="680" spans="1:7" x14ac:dyDescent="0.35">
      <c r="A680" t="s">
        <v>2044</v>
      </c>
      <c r="B680" s="4" t="s">
        <v>565</v>
      </c>
      <c r="C680">
        <v>5</v>
      </c>
      <c r="D680" s="7">
        <v>7</v>
      </c>
      <c r="E680">
        <v>1</v>
      </c>
      <c r="F680" t="s">
        <v>1324</v>
      </c>
      <c r="G680" t="s">
        <v>46</v>
      </c>
    </row>
    <row r="681" spans="1:7" x14ac:dyDescent="0.35">
      <c r="A681" t="s">
        <v>2045</v>
      </c>
      <c r="B681" s="4" t="s">
        <v>565</v>
      </c>
      <c r="C681">
        <v>6</v>
      </c>
      <c r="D681" s="7">
        <v>4</v>
      </c>
      <c r="E681">
        <v>1</v>
      </c>
      <c r="F681" t="s">
        <v>1324</v>
      </c>
      <c r="G681" t="s">
        <v>46</v>
      </c>
    </row>
    <row r="682" spans="1:7" x14ac:dyDescent="0.35">
      <c r="A682" t="s">
        <v>2046</v>
      </c>
      <c r="B682" s="4" t="s">
        <v>565</v>
      </c>
      <c r="C682">
        <v>9</v>
      </c>
      <c r="D682" s="7">
        <v>4</v>
      </c>
      <c r="E682">
        <v>1</v>
      </c>
      <c r="F682" t="s">
        <v>1324</v>
      </c>
      <c r="G682" t="s">
        <v>46</v>
      </c>
    </row>
    <row r="683" spans="1:7" x14ac:dyDescent="0.35">
      <c r="A683" t="s">
        <v>2047</v>
      </c>
      <c r="B683" s="4" t="s">
        <v>569</v>
      </c>
      <c r="C683">
        <v>1</v>
      </c>
      <c r="D683" s="7">
        <v>4</v>
      </c>
      <c r="E683">
        <v>1</v>
      </c>
      <c r="F683" t="s">
        <v>1321</v>
      </c>
      <c r="G683" t="s">
        <v>46</v>
      </c>
    </row>
    <row r="684" spans="1:7" x14ac:dyDescent="0.35">
      <c r="A684" t="s">
        <v>2048</v>
      </c>
      <c r="B684" s="4" t="s">
        <v>569</v>
      </c>
      <c r="C684">
        <v>4</v>
      </c>
      <c r="D684" s="7">
        <v>6</v>
      </c>
      <c r="E684">
        <v>1</v>
      </c>
      <c r="F684" t="s">
        <v>1324</v>
      </c>
      <c r="G684" t="s">
        <v>46</v>
      </c>
    </row>
    <row r="685" spans="1:7" x14ac:dyDescent="0.35">
      <c r="A685" t="s">
        <v>2049</v>
      </c>
      <c r="B685" s="4" t="s">
        <v>569</v>
      </c>
      <c r="C685">
        <v>5</v>
      </c>
      <c r="D685" s="7">
        <v>6</v>
      </c>
      <c r="E685">
        <v>1</v>
      </c>
      <c r="F685" t="s">
        <v>1324</v>
      </c>
      <c r="G685" t="s">
        <v>46</v>
      </c>
    </row>
    <row r="686" spans="1:7" x14ac:dyDescent="0.35">
      <c r="A686" t="s">
        <v>2050</v>
      </c>
      <c r="B686" s="4" t="s">
        <v>569</v>
      </c>
      <c r="C686">
        <v>6</v>
      </c>
      <c r="D686" s="7">
        <v>6</v>
      </c>
      <c r="E686">
        <v>1</v>
      </c>
      <c r="F686" t="s">
        <v>1324</v>
      </c>
      <c r="G686" t="s">
        <v>46</v>
      </c>
    </row>
    <row r="687" spans="1:7" x14ac:dyDescent="0.35">
      <c r="A687" t="s">
        <v>2051</v>
      </c>
      <c r="B687" s="4" t="s">
        <v>569</v>
      </c>
      <c r="C687">
        <v>9</v>
      </c>
      <c r="D687" s="7">
        <v>7</v>
      </c>
      <c r="E687">
        <v>1</v>
      </c>
      <c r="F687" t="s">
        <v>1324</v>
      </c>
      <c r="G687" t="s">
        <v>46</v>
      </c>
    </row>
    <row r="688" spans="1:7" x14ac:dyDescent="0.35">
      <c r="A688" t="s">
        <v>2052</v>
      </c>
      <c r="B688" s="4" t="s">
        <v>572</v>
      </c>
      <c r="C688">
        <v>1</v>
      </c>
      <c r="D688" s="7">
        <v>12</v>
      </c>
      <c r="E688">
        <v>1</v>
      </c>
      <c r="F688" t="s">
        <v>1321</v>
      </c>
      <c r="G688" t="s">
        <v>46</v>
      </c>
    </row>
    <row r="689" spans="1:7" x14ac:dyDescent="0.35">
      <c r="A689" t="s">
        <v>2053</v>
      </c>
      <c r="B689" s="4" t="s">
        <v>572</v>
      </c>
      <c r="C689">
        <v>1</v>
      </c>
      <c r="D689" s="7">
        <v>4</v>
      </c>
      <c r="E689">
        <v>2</v>
      </c>
      <c r="F689" t="s">
        <v>1321</v>
      </c>
      <c r="G689" t="s">
        <v>54</v>
      </c>
    </row>
    <row r="690" spans="1:7" x14ac:dyDescent="0.35">
      <c r="A690" t="s">
        <v>2054</v>
      </c>
      <c r="B690" s="4" t="s">
        <v>572</v>
      </c>
      <c r="C690">
        <v>4</v>
      </c>
      <c r="D690" s="7">
        <v>14</v>
      </c>
      <c r="E690">
        <v>1</v>
      </c>
      <c r="F690" t="s">
        <v>1324</v>
      </c>
      <c r="G690" t="s">
        <v>46</v>
      </c>
    </row>
    <row r="691" spans="1:7" x14ac:dyDescent="0.35">
      <c r="A691" t="s">
        <v>2055</v>
      </c>
      <c r="B691" s="4" t="s">
        <v>572</v>
      </c>
      <c r="C691">
        <v>5</v>
      </c>
      <c r="D691" s="7">
        <v>11</v>
      </c>
      <c r="E691">
        <v>1</v>
      </c>
      <c r="F691" t="s">
        <v>1324</v>
      </c>
      <c r="G691" t="s">
        <v>46</v>
      </c>
    </row>
    <row r="692" spans="1:7" x14ac:dyDescent="0.35">
      <c r="A692" t="s">
        <v>2056</v>
      </c>
      <c r="B692" s="4" t="s">
        <v>572</v>
      </c>
      <c r="C692">
        <v>6</v>
      </c>
      <c r="D692" s="7">
        <v>15</v>
      </c>
      <c r="E692">
        <v>1</v>
      </c>
      <c r="F692" t="s">
        <v>1324</v>
      </c>
      <c r="G692" t="s">
        <v>46</v>
      </c>
    </row>
    <row r="693" spans="1:7" x14ac:dyDescent="0.35">
      <c r="A693" t="s">
        <v>2057</v>
      </c>
      <c r="B693" s="4" t="s">
        <v>572</v>
      </c>
      <c r="C693">
        <v>9</v>
      </c>
      <c r="D693" s="7">
        <v>10</v>
      </c>
      <c r="E693">
        <v>1</v>
      </c>
      <c r="F693" t="s">
        <v>1324</v>
      </c>
      <c r="G693" t="s">
        <v>46</v>
      </c>
    </row>
    <row r="694" spans="1:7" x14ac:dyDescent="0.35">
      <c r="A694" t="s">
        <v>2058</v>
      </c>
      <c r="B694" s="4" t="s">
        <v>580</v>
      </c>
      <c r="C694">
        <v>1</v>
      </c>
      <c r="D694" s="7">
        <v>10</v>
      </c>
      <c r="E694">
        <v>1</v>
      </c>
      <c r="F694" t="s">
        <v>1321</v>
      </c>
      <c r="G694" t="s">
        <v>46</v>
      </c>
    </row>
    <row r="695" spans="1:7" x14ac:dyDescent="0.35">
      <c r="A695" t="s">
        <v>2059</v>
      </c>
      <c r="B695" s="4" t="s">
        <v>580</v>
      </c>
      <c r="C695">
        <v>1</v>
      </c>
      <c r="D695" s="7">
        <v>3</v>
      </c>
      <c r="E695">
        <v>2</v>
      </c>
      <c r="F695" t="s">
        <v>1321</v>
      </c>
      <c r="G695" t="s">
        <v>54</v>
      </c>
    </row>
    <row r="696" spans="1:7" x14ac:dyDescent="0.35">
      <c r="A696" t="s">
        <v>2060</v>
      </c>
      <c r="B696" s="4" t="s">
        <v>580</v>
      </c>
      <c r="C696">
        <v>4</v>
      </c>
      <c r="D696" s="7">
        <v>15</v>
      </c>
      <c r="E696">
        <v>1</v>
      </c>
      <c r="F696" t="s">
        <v>1324</v>
      </c>
      <c r="G696" t="s">
        <v>46</v>
      </c>
    </row>
    <row r="697" spans="1:7" x14ac:dyDescent="0.35">
      <c r="A697" t="s">
        <v>2061</v>
      </c>
      <c r="B697" s="4" t="s">
        <v>580</v>
      </c>
      <c r="C697">
        <v>5</v>
      </c>
      <c r="D697" s="7">
        <v>12</v>
      </c>
      <c r="E697">
        <v>1</v>
      </c>
      <c r="F697" t="s">
        <v>1324</v>
      </c>
      <c r="G697" t="s">
        <v>46</v>
      </c>
    </row>
    <row r="698" spans="1:7" x14ac:dyDescent="0.35">
      <c r="A698" t="s">
        <v>2062</v>
      </c>
      <c r="B698" s="4" t="s">
        <v>580</v>
      </c>
      <c r="C698">
        <v>6</v>
      </c>
      <c r="D698" s="7">
        <v>10</v>
      </c>
      <c r="E698">
        <v>1</v>
      </c>
      <c r="F698" t="s">
        <v>1324</v>
      </c>
      <c r="G698" t="s">
        <v>46</v>
      </c>
    </row>
    <row r="699" spans="1:7" x14ac:dyDescent="0.35">
      <c r="A699" t="s">
        <v>2063</v>
      </c>
      <c r="B699" s="4" t="s">
        <v>580</v>
      </c>
      <c r="C699">
        <v>9</v>
      </c>
      <c r="D699" s="7">
        <v>9</v>
      </c>
      <c r="E699">
        <v>1</v>
      </c>
      <c r="F699" t="s">
        <v>1324</v>
      </c>
      <c r="G699" t="s">
        <v>46</v>
      </c>
    </row>
    <row r="700" spans="1:7" x14ac:dyDescent="0.35">
      <c r="A700" t="s">
        <v>2064</v>
      </c>
      <c r="B700" s="4" t="s">
        <v>2065</v>
      </c>
      <c r="C700">
        <v>1</v>
      </c>
      <c r="D700" s="7">
        <v>10</v>
      </c>
      <c r="E700">
        <v>1</v>
      </c>
      <c r="F700" t="s">
        <v>1321</v>
      </c>
      <c r="G700" t="s">
        <v>46</v>
      </c>
    </row>
    <row r="701" spans="1:7" x14ac:dyDescent="0.35">
      <c r="A701" t="s">
        <v>2066</v>
      </c>
      <c r="B701" s="4" t="s">
        <v>2065</v>
      </c>
      <c r="C701">
        <v>4</v>
      </c>
      <c r="D701" s="7">
        <v>12</v>
      </c>
      <c r="E701">
        <v>1</v>
      </c>
      <c r="F701" t="s">
        <v>1324</v>
      </c>
      <c r="G701" t="s">
        <v>46</v>
      </c>
    </row>
    <row r="702" spans="1:7" x14ac:dyDescent="0.35">
      <c r="A702" t="s">
        <v>2067</v>
      </c>
      <c r="B702" s="4" t="s">
        <v>2065</v>
      </c>
      <c r="C702">
        <v>5</v>
      </c>
      <c r="D702" s="7">
        <v>15</v>
      </c>
      <c r="E702">
        <v>1</v>
      </c>
      <c r="F702" t="s">
        <v>1324</v>
      </c>
      <c r="G702" t="s">
        <v>46</v>
      </c>
    </row>
    <row r="703" spans="1:7" x14ac:dyDescent="0.35">
      <c r="A703" t="s">
        <v>2068</v>
      </c>
      <c r="B703" s="4" t="s">
        <v>2065</v>
      </c>
      <c r="C703">
        <v>6</v>
      </c>
      <c r="D703" s="7">
        <v>12</v>
      </c>
      <c r="E703">
        <v>1</v>
      </c>
      <c r="F703" t="s">
        <v>1324</v>
      </c>
      <c r="G703" t="s">
        <v>46</v>
      </c>
    </row>
    <row r="704" spans="1:7" x14ac:dyDescent="0.35">
      <c r="A704" t="s">
        <v>2069</v>
      </c>
      <c r="B704" s="4" t="s">
        <v>2065</v>
      </c>
      <c r="C704">
        <v>9</v>
      </c>
      <c r="D704" s="7">
        <v>11</v>
      </c>
      <c r="E704">
        <v>1</v>
      </c>
      <c r="F704" t="s">
        <v>1324</v>
      </c>
      <c r="G704" t="s">
        <v>46</v>
      </c>
    </row>
    <row r="705" spans="1:7" x14ac:dyDescent="0.35">
      <c r="A705" t="s">
        <v>2070</v>
      </c>
      <c r="B705" s="4" t="s">
        <v>2071</v>
      </c>
      <c r="C705">
        <v>4</v>
      </c>
      <c r="D705" s="7">
        <v>13</v>
      </c>
      <c r="E705">
        <v>1</v>
      </c>
      <c r="F705" t="s">
        <v>1324</v>
      </c>
      <c r="G705" t="s">
        <v>46</v>
      </c>
    </row>
    <row r="706" spans="1:7" x14ac:dyDescent="0.35">
      <c r="A706" t="s">
        <v>2072</v>
      </c>
      <c r="B706" s="4" t="s">
        <v>2071</v>
      </c>
      <c r="C706">
        <v>5</v>
      </c>
      <c r="D706" s="7">
        <v>12</v>
      </c>
      <c r="E706">
        <v>1</v>
      </c>
      <c r="F706" t="s">
        <v>1324</v>
      </c>
      <c r="G706" t="s">
        <v>46</v>
      </c>
    </row>
    <row r="707" spans="1:7" x14ac:dyDescent="0.35">
      <c r="A707" t="s">
        <v>2073</v>
      </c>
      <c r="B707" s="4" t="s">
        <v>2071</v>
      </c>
      <c r="C707">
        <v>6</v>
      </c>
      <c r="D707" s="7">
        <v>12</v>
      </c>
      <c r="E707">
        <v>1</v>
      </c>
      <c r="F707" t="s">
        <v>1324</v>
      </c>
      <c r="G707" t="s">
        <v>46</v>
      </c>
    </row>
    <row r="708" spans="1:7" x14ac:dyDescent="0.35">
      <c r="A708" t="s">
        <v>2074</v>
      </c>
      <c r="B708" s="4" t="s">
        <v>2071</v>
      </c>
      <c r="C708">
        <v>9</v>
      </c>
      <c r="D708" s="7">
        <v>8</v>
      </c>
      <c r="E708">
        <v>1</v>
      </c>
      <c r="F708" t="s">
        <v>1324</v>
      </c>
      <c r="G708" t="s">
        <v>46</v>
      </c>
    </row>
    <row r="709" spans="1:7" x14ac:dyDescent="0.35">
      <c r="A709" t="s">
        <v>2075</v>
      </c>
      <c r="B709" s="4" t="s">
        <v>2076</v>
      </c>
      <c r="C709">
        <v>4</v>
      </c>
      <c r="D709" s="7">
        <v>8</v>
      </c>
      <c r="E709">
        <v>1</v>
      </c>
      <c r="F709" t="s">
        <v>1324</v>
      </c>
      <c r="G709" t="s">
        <v>46</v>
      </c>
    </row>
    <row r="710" spans="1:7" x14ac:dyDescent="0.35">
      <c r="A710" t="s">
        <v>2077</v>
      </c>
      <c r="B710" s="4" t="s">
        <v>2076</v>
      </c>
      <c r="C710">
        <v>5</v>
      </c>
      <c r="D710" s="7">
        <v>15</v>
      </c>
      <c r="E710">
        <v>1</v>
      </c>
      <c r="F710" t="s">
        <v>1324</v>
      </c>
      <c r="G710" t="s">
        <v>46</v>
      </c>
    </row>
    <row r="711" spans="1:7" x14ac:dyDescent="0.35">
      <c r="A711" t="s">
        <v>2078</v>
      </c>
      <c r="B711" s="4" t="s">
        <v>2076</v>
      </c>
      <c r="C711">
        <v>6</v>
      </c>
      <c r="D711" s="7">
        <v>12</v>
      </c>
      <c r="E711">
        <v>1</v>
      </c>
      <c r="F711" t="s">
        <v>1324</v>
      </c>
      <c r="G711" t="s">
        <v>46</v>
      </c>
    </row>
    <row r="712" spans="1:7" x14ac:dyDescent="0.35">
      <c r="A712" t="s">
        <v>2079</v>
      </c>
      <c r="B712" s="4" t="s">
        <v>2076</v>
      </c>
      <c r="C712">
        <v>9</v>
      </c>
      <c r="D712" s="7">
        <v>11</v>
      </c>
      <c r="E712">
        <v>1</v>
      </c>
      <c r="F712" t="s">
        <v>1324</v>
      </c>
      <c r="G712" t="s">
        <v>46</v>
      </c>
    </row>
    <row r="713" spans="1:7" x14ac:dyDescent="0.35">
      <c r="A713" t="s">
        <v>2080</v>
      </c>
      <c r="B713" s="4" t="s">
        <v>585</v>
      </c>
      <c r="C713">
        <v>4</v>
      </c>
      <c r="D713" s="7">
        <v>6</v>
      </c>
      <c r="E713">
        <v>1</v>
      </c>
      <c r="F713" t="s">
        <v>1324</v>
      </c>
      <c r="G713" t="s">
        <v>46</v>
      </c>
    </row>
    <row r="714" spans="1:7" x14ac:dyDescent="0.35">
      <c r="A714" t="s">
        <v>2081</v>
      </c>
      <c r="B714" s="4" t="s">
        <v>585</v>
      </c>
      <c r="C714">
        <v>5</v>
      </c>
      <c r="D714" s="7">
        <v>5</v>
      </c>
      <c r="E714">
        <v>1</v>
      </c>
      <c r="F714" t="s">
        <v>1324</v>
      </c>
      <c r="G714" t="s">
        <v>46</v>
      </c>
    </row>
    <row r="715" spans="1:7" x14ac:dyDescent="0.35">
      <c r="A715" t="s">
        <v>2082</v>
      </c>
      <c r="B715" s="4" t="s">
        <v>585</v>
      </c>
      <c r="C715">
        <v>6</v>
      </c>
      <c r="D715" s="7">
        <v>4</v>
      </c>
      <c r="E715">
        <v>1</v>
      </c>
      <c r="F715" t="s">
        <v>1324</v>
      </c>
      <c r="G715" t="s">
        <v>46</v>
      </c>
    </row>
    <row r="716" spans="1:7" x14ac:dyDescent="0.35">
      <c r="A716" t="s">
        <v>2083</v>
      </c>
      <c r="B716" s="4" t="s">
        <v>585</v>
      </c>
      <c r="C716">
        <v>9</v>
      </c>
      <c r="D716" s="7">
        <v>4</v>
      </c>
      <c r="E716">
        <v>1</v>
      </c>
      <c r="F716" t="s">
        <v>1324</v>
      </c>
      <c r="G716" t="s">
        <v>46</v>
      </c>
    </row>
    <row r="717" spans="1:7" x14ac:dyDescent="0.35">
      <c r="A717" t="s">
        <v>2084</v>
      </c>
      <c r="B717" s="4" t="s">
        <v>2085</v>
      </c>
      <c r="C717">
        <v>1</v>
      </c>
      <c r="D717" s="7">
        <v>2</v>
      </c>
      <c r="E717">
        <v>1</v>
      </c>
      <c r="F717" t="s">
        <v>1321</v>
      </c>
      <c r="G717" t="s">
        <v>46</v>
      </c>
    </row>
    <row r="718" spans="1:7" x14ac:dyDescent="0.35">
      <c r="A718" t="s">
        <v>2086</v>
      </c>
      <c r="B718" s="4" t="s">
        <v>2085</v>
      </c>
      <c r="C718">
        <v>4</v>
      </c>
      <c r="D718" s="7">
        <v>4</v>
      </c>
      <c r="E718">
        <v>1</v>
      </c>
      <c r="F718" t="s">
        <v>1324</v>
      </c>
      <c r="G718" t="s">
        <v>46</v>
      </c>
    </row>
    <row r="719" spans="1:7" x14ac:dyDescent="0.35">
      <c r="A719" t="s">
        <v>2087</v>
      </c>
      <c r="B719" s="4" t="s">
        <v>2085</v>
      </c>
      <c r="C719">
        <v>5</v>
      </c>
      <c r="D719" s="7">
        <v>6</v>
      </c>
      <c r="E719">
        <v>1</v>
      </c>
      <c r="F719" t="s">
        <v>1324</v>
      </c>
      <c r="G719" t="s">
        <v>46</v>
      </c>
    </row>
    <row r="720" spans="1:7" x14ac:dyDescent="0.35">
      <c r="A720" t="s">
        <v>2088</v>
      </c>
      <c r="B720" s="4" t="s">
        <v>2085</v>
      </c>
      <c r="C720">
        <v>6</v>
      </c>
      <c r="D720" s="7">
        <v>6</v>
      </c>
      <c r="E720">
        <v>1</v>
      </c>
      <c r="F720" t="s">
        <v>1324</v>
      </c>
      <c r="G720" t="s">
        <v>46</v>
      </c>
    </row>
    <row r="721" spans="1:7" x14ac:dyDescent="0.35">
      <c r="A721" t="s">
        <v>2089</v>
      </c>
      <c r="B721" s="4" t="s">
        <v>2085</v>
      </c>
      <c r="C721">
        <v>9</v>
      </c>
      <c r="D721" s="7">
        <v>7</v>
      </c>
      <c r="E721">
        <v>1</v>
      </c>
      <c r="F721" t="s">
        <v>1324</v>
      </c>
      <c r="G721" t="s">
        <v>46</v>
      </c>
    </row>
    <row r="722" spans="1:7" x14ac:dyDescent="0.35">
      <c r="A722" t="s">
        <v>2090</v>
      </c>
      <c r="B722" s="4" t="s">
        <v>2091</v>
      </c>
      <c r="C722">
        <v>1</v>
      </c>
      <c r="D722" s="7">
        <v>3</v>
      </c>
      <c r="E722">
        <v>1</v>
      </c>
      <c r="F722" t="s">
        <v>1321</v>
      </c>
      <c r="G722" t="s">
        <v>46</v>
      </c>
    </row>
    <row r="723" spans="1:7" x14ac:dyDescent="0.35">
      <c r="A723" t="s">
        <v>2092</v>
      </c>
      <c r="B723" s="4" t="s">
        <v>2091</v>
      </c>
      <c r="C723">
        <v>4</v>
      </c>
      <c r="D723" s="7">
        <v>13</v>
      </c>
      <c r="E723">
        <v>1</v>
      </c>
      <c r="F723" t="s">
        <v>1324</v>
      </c>
      <c r="G723" t="s">
        <v>46</v>
      </c>
    </row>
    <row r="724" spans="1:7" x14ac:dyDescent="0.35">
      <c r="A724" t="s">
        <v>2093</v>
      </c>
      <c r="B724" s="4" t="s">
        <v>2091</v>
      </c>
      <c r="C724">
        <v>5</v>
      </c>
      <c r="D724" s="7">
        <v>12</v>
      </c>
      <c r="E724">
        <v>1</v>
      </c>
      <c r="F724" t="s">
        <v>1324</v>
      </c>
      <c r="G724" t="s">
        <v>46</v>
      </c>
    </row>
    <row r="725" spans="1:7" x14ac:dyDescent="0.35">
      <c r="A725" t="s">
        <v>2094</v>
      </c>
      <c r="B725" s="4" t="s">
        <v>2091</v>
      </c>
      <c r="C725">
        <v>6</v>
      </c>
      <c r="D725" s="7">
        <v>10</v>
      </c>
      <c r="E725">
        <v>1</v>
      </c>
      <c r="F725" t="s">
        <v>1324</v>
      </c>
      <c r="G725" t="s">
        <v>46</v>
      </c>
    </row>
    <row r="726" spans="1:7" x14ac:dyDescent="0.35">
      <c r="A726" t="s">
        <v>2095</v>
      </c>
      <c r="B726" s="4" t="s">
        <v>2091</v>
      </c>
      <c r="C726">
        <v>9</v>
      </c>
      <c r="D726" s="7">
        <v>12</v>
      </c>
      <c r="E726">
        <v>1</v>
      </c>
      <c r="F726" t="s">
        <v>1324</v>
      </c>
      <c r="G726" t="s">
        <v>46</v>
      </c>
    </row>
    <row r="727" spans="1:7" x14ac:dyDescent="0.35">
      <c r="A727" t="s">
        <v>2096</v>
      </c>
      <c r="B727" s="4" t="s">
        <v>2097</v>
      </c>
      <c r="C727">
        <v>4</v>
      </c>
      <c r="D727" s="7">
        <v>12</v>
      </c>
      <c r="E727">
        <v>1</v>
      </c>
      <c r="F727" t="s">
        <v>1324</v>
      </c>
      <c r="G727" t="s">
        <v>46</v>
      </c>
    </row>
    <row r="728" spans="1:7" x14ac:dyDescent="0.35">
      <c r="A728" t="s">
        <v>2098</v>
      </c>
      <c r="B728" s="4" t="s">
        <v>2097</v>
      </c>
      <c r="C728">
        <v>5</v>
      </c>
      <c r="D728" s="7">
        <v>13</v>
      </c>
      <c r="E728">
        <v>1</v>
      </c>
      <c r="F728" t="s">
        <v>1324</v>
      </c>
      <c r="G728" t="s">
        <v>46</v>
      </c>
    </row>
    <row r="729" spans="1:7" x14ac:dyDescent="0.35">
      <c r="A729" t="s">
        <v>2099</v>
      </c>
      <c r="B729" s="4" t="s">
        <v>2097</v>
      </c>
      <c r="C729">
        <v>6</v>
      </c>
      <c r="D729" s="7">
        <v>9</v>
      </c>
      <c r="E729">
        <v>1</v>
      </c>
      <c r="F729" t="s">
        <v>1324</v>
      </c>
      <c r="G729" t="s">
        <v>46</v>
      </c>
    </row>
    <row r="730" spans="1:7" x14ac:dyDescent="0.35">
      <c r="A730" t="s">
        <v>2100</v>
      </c>
      <c r="B730" s="4" t="s">
        <v>2097</v>
      </c>
      <c r="C730">
        <v>9</v>
      </c>
      <c r="D730" s="7">
        <v>15</v>
      </c>
      <c r="E730">
        <v>1</v>
      </c>
      <c r="F730" t="s">
        <v>1324</v>
      </c>
      <c r="G730" t="s">
        <v>46</v>
      </c>
    </row>
    <row r="731" spans="1:7" x14ac:dyDescent="0.35">
      <c r="A731" t="s">
        <v>2101</v>
      </c>
      <c r="B731" s="4" t="s">
        <v>587</v>
      </c>
      <c r="C731">
        <v>1</v>
      </c>
      <c r="D731" s="7">
        <v>1</v>
      </c>
      <c r="E731">
        <v>2</v>
      </c>
      <c r="F731" t="s">
        <v>1321</v>
      </c>
      <c r="G731" t="s">
        <v>54</v>
      </c>
    </row>
    <row r="732" spans="1:7" x14ac:dyDescent="0.35">
      <c r="A732" t="s">
        <v>2102</v>
      </c>
      <c r="B732" s="4" t="s">
        <v>587</v>
      </c>
      <c r="C732">
        <v>4</v>
      </c>
      <c r="D732" s="7">
        <v>14</v>
      </c>
      <c r="E732">
        <v>1</v>
      </c>
      <c r="F732" t="s">
        <v>1324</v>
      </c>
      <c r="G732" t="s">
        <v>46</v>
      </c>
    </row>
    <row r="733" spans="1:7" x14ac:dyDescent="0.35">
      <c r="A733" t="s">
        <v>2103</v>
      </c>
      <c r="B733" s="4" t="s">
        <v>587</v>
      </c>
      <c r="C733">
        <v>5</v>
      </c>
      <c r="D733" s="7">
        <v>13</v>
      </c>
      <c r="E733">
        <v>1</v>
      </c>
      <c r="F733" t="s">
        <v>1324</v>
      </c>
      <c r="G733" t="s">
        <v>46</v>
      </c>
    </row>
    <row r="734" spans="1:7" x14ac:dyDescent="0.35">
      <c r="A734" t="s">
        <v>2104</v>
      </c>
      <c r="B734" s="4" t="s">
        <v>587</v>
      </c>
      <c r="C734">
        <v>6</v>
      </c>
      <c r="D734" s="7">
        <v>9</v>
      </c>
      <c r="E734">
        <v>1</v>
      </c>
      <c r="F734" t="s">
        <v>1324</v>
      </c>
      <c r="G734" t="s">
        <v>46</v>
      </c>
    </row>
    <row r="735" spans="1:7" x14ac:dyDescent="0.35">
      <c r="A735" t="s">
        <v>2105</v>
      </c>
      <c r="B735" s="4" t="s">
        <v>587</v>
      </c>
      <c r="C735">
        <v>9</v>
      </c>
      <c r="D735" s="7">
        <v>14</v>
      </c>
      <c r="E735">
        <v>1</v>
      </c>
      <c r="F735" t="s">
        <v>1324</v>
      </c>
      <c r="G735" t="s">
        <v>46</v>
      </c>
    </row>
    <row r="736" spans="1:7" x14ac:dyDescent="0.35">
      <c r="A736" t="s">
        <v>2106</v>
      </c>
      <c r="B736" s="4" t="s">
        <v>597</v>
      </c>
      <c r="C736">
        <v>1</v>
      </c>
      <c r="D736" s="7">
        <v>2</v>
      </c>
      <c r="E736">
        <v>1</v>
      </c>
      <c r="F736" t="s">
        <v>1321</v>
      </c>
      <c r="G736" t="s">
        <v>46</v>
      </c>
    </row>
    <row r="737" spans="1:7" x14ac:dyDescent="0.35">
      <c r="A737" t="s">
        <v>2107</v>
      </c>
      <c r="B737" s="4" t="s">
        <v>597</v>
      </c>
      <c r="C737">
        <v>4</v>
      </c>
      <c r="D737" s="7">
        <v>12</v>
      </c>
      <c r="E737">
        <v>1</v>
      </c>
      <c r="F737" t="s">
        <v>1324</v>
      </c>
      <c r="G737" t="s">
        <v>46</v>
      </c>
    </row>
    <row r="738" spans="1:7" x14ac:dyDescent="0.35">
      <c r="A738" t="s">
        <v>2108</v>
      </c>
      <c r="B738" s="4" t="s">
        <v>597</v>
      </c>
      <c r="C738">
        <v>5</v>
      </c>
      <c r="D738" s="7">
        <v>14</v>
      </c>
      <c r="E738">
        <v>1</v>
      </c>
      <c r="F738" t="s">
        <v>1324</v>
      </c>
      <c r="G738" t="s">
        <v>46</v>
      </c>
    </row>
    <row r="739" spans="1:7" x14ac:dyDescent="0.35">
      <c r="A739" t="s">
        <v>2109</v>
      </c>
      <c r="B739" s="4" t="s">
        <v>597</v>
      </c>
      <c r="C739">
        <v>6</v>
      </c>
      <c r="D739" s="7">
        <v>13</v>
      </c>
      <c r="E739">
        <v>1</v>
      </c>
      <c r="F739" t="s">
        <v>1324</v>
      </c>
      <c r="G739" t="s">
        <v>46</v>
      </c>
    </row>
    <row r="740" spans="1:7" x14ac:dyDescent="0.35">
      <c r="A740" t="s">
        <v>2110</v>
      </c>
      <c r="B740" s="4" t="s">
        <v>597</v>
      </c>
      <c r="C740">
        <v>9</v>
      </c>
      <c r="D740" s="7">
        <v>9</v>
      </c>
      <c r="E740">
        <v>1</v>
      </c>
      <c r="F740" t="s">
        <v>1324</v>
      </c>
      <c r="G740" t="s">
        <v>46</v>
      </c>
    </row>
    <row r="741" spans="1:7" x14ac:dyDescent="0.35">
      <c r="A741" t="s">
        <v>2111</v>
      </c>
      <c r="B741" s="4" t="s">
        <v>603</v>
      </c>
      <c r="C741">
        <v>4</v>
      </c>
      <c r="D741" s="7">
        <v>13</v>
      </c>
      <c r="E741">
        <v>1</v>
      </c>
      <c r="F741" t="s">
        <v>1324</v>
      </c>
      <c r="G741" t="s">
        <v>46</v>
      </c>
    </row>
    <row r="742" spans="1:7" x14ac:dyDescent="0.35">
      <c r="A742" t="s">
        <v>2112</v>
      </c>
      <c r="B742" s="4" t="s">
        <v>603</v>
      </c>
      <c r="C742">
        <v>5</v>
      </c>
      <c r="D742" s="7">
        <v>11</v>
      </c>
      <c r="E742">
        <v>1</v>
      </c>
      <c r="F742" t="s">
        <v>1324</v>
      </c>
      <c r="G742" t="s">
        <v>46</v>
      </c>
    </row>
    <row r="743" spans="1:7" x14ac:dyDescent="0.35">
      <c r="A743" t="s">
        <v>2113</v>
      </c>
      <c r="B743" s="4" t="s">
        <v>603</v>
      </c>
      <c r="C743">
        <v>6</v>
      </c>
      <c r="D743" s="7">
        <v>9</v>
      </c>
      <c r="E743">
        <v>1</v>
      </c>
      <c r="F743" t="s">
        <v>1324</v>
      </c>
      <c r="G743" t="s">
        <v>46</v>
      </c>
    </row>
    <row r="744" spans="1:7" x14ac:dyDescent="0.35">
      <c r="A744" t="s">
        <v>2114</v>
      </c>
      <c r="B744" s="4" t="s">
        <v>603</v>
      </c>
      <c r="C744">
        <v>9</v>
      </c>
      <c r="D744" s="7">
        <v>15</v>
      </c>
      <c r="E744">
        <v>1</v>
      </c>
      <c r="F744" t="s">
        <v>1324</v>
      </c>
      <c r="G744" t="s">
        <v>46</v>
      </c>
    </row>
    <row r="745" spans="1:7" x14ac:dyDescent="0.35">
      <c r="A745" t="s">
        <v>2115</v>
      </c>
      <c r="B745" s="4" t="s">
        <v>610</v>
      </c>
      <c r="C745">
        <v>4</v>
      </c>
      <c r="D745" s="7">
        <v>5</v>
      </c>
      <c r="E745">
        <v>1</v>
      </c>
      <c r="F745" t="s">
        <v>1324</v>
      </c>
      <c r="G745" t="s">
        <v>46</v>
      </c>
    </row>
    <row r="746" spans="1:7" x14ac:dyDescent="0.35">
      <c r="A746" t="s">
        <v>2116</v>
      </c>
      <c r="B746" s="4" t="s">
        <v>610</v>
      </c>
      <c r="C746">
        <v>5</v>
      </c>
      <c r="D746" s="7">
        <v>4</v>
      </c>
      <c r="E746">
        <v>1</v>
      </c>
      <c r="F746" t="s">
        <v>1324</v>
      </c>
      <c r="G746" t="s">
        <v>46</v>
      </c>
    </row>
    <row r="747" spans="1:7" x14ac:dyDescent="0.35">
      <c r="A747" t="s">
        <v>2117</v>
      </c>
      <c r="B747" s="4" t="s">
        <v>610</v>
      </c>
      <c r="C747">
        <v>6</v>
      </c>
      <c r="D747" s="7">
        <v>4</v>
      </c>
      <c r="E747">
        <v>1</v>
      </c>
      <c r="F747" t="s">
        <v>1324</v>
      </c>
      <c r="G747" t="s">
        <v>46</v>
      </c>
    </row>
    <row r="748" spans="1:7" x14ac:dyDescent="0.35">
      <c r="A748" t="s">
        <v>2118</v>
      </c>
      <c r="B748" s="4" t="s">
        <v>610</v>
      </c>
      <c r="C748">
        <v>9</v>
      </c>
      <c r="D748" s="7">
        <v>6</v>
      </c>
      <c r="E748">
        <v>1</v>
      </c>
      <c r="F748" t="s">
        <v>1324</v>
      </c>
      <c r="G748" t="s">
        <v>46</v>
      </c>
    </row>
    <row r="749" spans="1:7" x14ac:dyDescent="0.35">
      <c r="A749" t="s">
        <v>2119</v>
      </c>
      <c r="B749" s="4" t="s">
        <v>613</v>
      </c>
      <c r="C749">
        <v>4</v>
      </c>
      <c r="D749" s="7">
        <v>5</v>
      </c>
      <c r="E749">
        <v>1</v>
      </c>
      <c r="F749" t="s">
        <v>1324</v>
      </c>
      <c r="G749" t="s">
        <v>46</v>
      </c>
    </row>
    <row r="750" spans="1:7" x14ac:dyDescent="0.35">
      <c r="A750" t="s">
        <v>2120</v>
      </c>
      <c r="B750" s="4" t="s">
        <v>613</v>
      </c>
      <c r="C750">
        <v>5</v>
      </c>
      <c r="D750" s="7">
        <v>7</v>
      </c>
      <c r="E750">
        <v>1</v>
      </c>
      <c r="F750" t="s">
        <v>1324</v>
      </c>
      <c r="G750" t="s">
        <v>46</v>
      </c>
    </row>
    <row r="751" spans="1:7" x14ac:dyDescent="0.35">
      <c r="A751" t="s">
        <v>2121</v>
      </c>
      <c r="B751" s="4" t="s">
        <v>613</v>
      </c>
      <c r="C751">
        <v>6</v>
      </c>
      <c r="D751" s="7">
        <v>7</v>
      </c>
      <c r="E751">
        <v>1</v>
      </c>
      <c r="F751" t="s">
        <v>1324</v>
      </c>
      <c r="G751" t="s">
        <v>46</v>
      </c>
    </row>
    <row r="752" spans="1:7" x14ac:dyDescent="0.35">
      <c r="A752" t="s">
        <v>2122</v>
      </c>
      <c r="B752" s="4" t="s">
        <v>613</v>
      </c>
      <c r="C752">
        <v>9</v>
      </c>
      <c r="D752" s="7">
        <v>6</v>
      </c>
      <c r="E752">
        <v>1</v>
      </c>
      <c r="F752" t="s">
        <v>1324</v>
      </c>
      <c r="G752" t="s">
        <v>46</v>
      </c>
    </row>
    <row r="753" spans="1:7" x14ac:dyDescent="0.35">
      <c r="A753" t="s">
        <v>2123</v>
      </c>
      <c r="B753" s="4" t="s">
        <v>615</v>
      </c>
      <c r="C753">
        <v>4</v>
      </c>
      <c r="D753" s="7">
        <v>14</v>
      </c>
      <c r="E753">
        <v>1</v>
      </c>
      <c r="F753" t="s">
        <v>1324</v>
      </c>
      <c r="G753" t="s">
        <v>46</v>
      </c>
    </row>
    <row r="754" spans="1:7" x14ac:dyDescent="0.35">
      <c r="A754" t="s">
        <v>2124</v>
      </c>
      <c r="B754" s="4" t="s">
        <v>615</v>
      </c>
      <c r="C754">
        <v>5</v>
      </c>
      <c r="D754" s="7">
        <v>10</v>
      </c>
      <c r="E754">
        <v>1</v>
      </c>
      <c r="F754" t="s">
        <v>1324</v>
      </c>
      <c r="G754" t="s">
        <v>46</v>
      </c>
    </row>
    <row r="755" spans="1:7" x14ac:dyDescent="0.35">
      <c r="A755" t="s">
        <v>2125</v>
      </c>
      <c r="B755" s="4" t="s">
        <v>615</v>
      </c>
      <c r="C755">
        <v>6</v>
      </c>
      <c r="D755" s="7">
        <v>14</v>
      </c>
      <c r="E755">
        <v>1</v>
      </c>
      <c r="F755" t="s">
        <v>1324</v>
      </c>
      <c r="G755" t="s">
        <v>46</v>
      </c>
    </row>
    <row r="756" spans="1:7" x14ac:dyDescent="0.35">
      <c r="A756" t="s">
        <v>2126</v>
      </c>
      <c r="B756" s="4" t="s">
        <v>615</v>
      </c>
      <c r="C756">
        <v>9</v>
      </c>
      <c r="D756" s="7">
        <v>9</v>
      </c>
      <c r="E756">
        <v>1</v>
      </c>
      <c r="F756" t="s">
        <v>1324</v>
      </c>
      <c r="G756" t="s">
        <v>46</v>
      </c>
    </row>
    <row r="757" spans="1:7" x14ac:dyDescent="0.35">
      <c r="A757" t="s">
        <v>2127</v>
      </c>
      <c r="B757" s="4" t="s">
        <v>619</v>
      </c>
      <c r="C757">
        <v>4</v>
      </c>
      <c r="D757" s="7">
        <v>12</v>
      </c>
      <c r="E757">
        <v>1</v>
      </c>
      <c r="F757" t="s">
        <v>1324</v>
      </c>
      <c r="G757" t="s">
        <v>46</v>
      </c>
    </row>
    <row r="758" spans="1:7" x14ac:dyDescent="0.35">
      <c r="A758" t="s">
        <v>2128</v>
      </c>
      <c r="B758" s="4" t="s">
        <v>619</v>
      </c>
      <c r="C758">
        <v>5</v>
      </c>
      <c r="D758" s="7">
        <v>8</v>
      </c>
      <c r="E758">
        <v>1</v>
      </c>
      <c r="F758" t="s">
        <v>1324</v>
      </c>
      <c r="G758" t="s">
        <v>46</v>
      </c>
    </row>
    <row r="759" spans="1:7" x14ac:dyDescent="0.35">
      <c r="A759" t="s">
        <v>2129</v>
      </c>
      <c r="B759" s="4" t="s">
        <v>619</v>
      </c>
      <c r="C759">
        <v>6</v>
      </c>
      <c r="D759" s="7">
        <v>13</v>
      </c>
      <c r="E759">
        <v>1</v>
      </c>
      <c r="F759" t="s">
        <v>1324</v>
      </c>
      <c r="G759" t="s">
        <v>46</v>
      </c>
    </row>
    <row r="760" spans="1:7" x14ac:dyDescent="0.35">
      <c r="A760" t="s">
        <v>2130</v>
      </c>
      <c r="B760" s="4" t="s">
        <v>619</v>
      </c>
      <c r="C760">
        <v>9</v>
      </c>
      <c r="D760" s="7">
        <v>11</v>
      </c>
      <c r="E760">
        <v>1</v>
      </c>
      <c r="F760" t="s">
        <v>1324</v>
      </c>
      <c r="G760" t="s">
        <v>46</v>
      </c>
    </row>
    <row r="761" spans="1:7" x14ac:dyDescent="0.35">
      <c r="A761" t="s">
        <v>2131</v>
      </c>
      <c r="B761" s="4" t="s">
        <v>627</v>
      </c>
      <c r="C761">
        <v>4</v>
      </c>
      <c r="D761" s="7">
        <v>9</v>
      </c>
      <c r="E761">
        <v>1</v>
      </c>
      <c r="F761" t="s">
        <v>1324</v>
      </c>
      <c r="G761" t="s">
        <v>46</v>
      </c>
    </row>
    <row r="762" spans="1:7" x14ac:dyDescent="0.35">
      <c r="A762" t="s">
        <v>2132</v>
      </c>
      <c r="B762" s="4" t="s">
        <v>627</v>
      </c>
      <c r="C762">
        <v>5</v>
      </c>
      <c r="D762" s="7">
        <v>13</v>
      </c>
      <c r="E762">
        <v>1</v>
      </c>
      <c r="F762" t="s">
        <v>1324</v>
      </c>
      <c r="G762" t="s">
        <v>46</v>
      </c>
    </row>
    <row r="763" spans="1:7" x14ac:dyDescent="0.35">
      <c r="A763" t="s">
        <v>2133</v>
      </c>
      <c r="B763" s="4" t="s">
        <v>627</v>
      </c>
      <c r="C763">
        <v>6</v>
      </c>
      <c r="D763" s="7">
        <v>13</v>
      </c>
      <c r="E763">
        <v>1</v>
      </c>
      <c r="F763" t="s">
        <v>1324</v>
      </c>
      <c r="G763" t="s">
        <v>46</v>
      </c>
    </row>
    <row r="764" spans="1:7" x14ac:dyDescent="0.35">
      <c r="A764" t="s">
        <v>2134</v>
      </c>
      <c r="B764" s="4" t="s">
        <v>627</v>
      </c>
      <c r="C764">
        <v>9</v>
      </c>
      <c r="D764" s="7">
        <v>8</v>
      </c>
      <c r="E764">
        <v>1</v>
      </c>
      <c r="F764" t="s">
        <v>1324</v>
      </c>
      <c r="G764" t="s">
        <v>46</v>
      </c>
    </row>
    <row r="765" spans="1:7" x14ac:dyDescent="0.35">
      <c r="A765" t="s">
        <v>2135</v>
      </c>
      <c r="B765" s="4" t="s">
        <v>636</v>
      </c>
      <c r="C765">
        <v>1</v>
      </c>
      <c r="D765" s="7">
        <v>3</v>
      </c>
      <c r="E765">
        <v>1</v>
      </c>
      <c r="F765" t="s">
        <v>1321</v>
      </c>
      <c r="G765" t="s">
        <v>46</v>
      </c>
    </row>
    <row r="766" spans="1:7" x14ac:dyDescent="0.35">
      <c r="A766" t="s">
        <v>2136</v>
      </c>
      <c r="B766" s="4" t="s">
        <v>636</v>
      </c>
      <c r="C766">
        <v>4</v>
      </c>
      <c r="D766" s="7">
        <v>15</v>
      </c>
      <c r="E766">
        <v>1</v>
      </c>
      <c r="F766" t="s">
        <v>1324</v>
      </c>
      <c r="G766" t="s">
        <v>46</v>
      </c>
    </row>
    <row r="767" spans="1:7" x14ac:dyDescent="0.35">
      <c r="A767" t="s">
        <v>2137</v>
      </c>
      <c r="B767" s="4" t="s">
        <v>636</v>
      </c>
      <c r="C767">
        <v>5</v>
      </c>
      <c r="D767" s="7">
        <v>9</v>
      </c>
      <c r="E767">
        <v>1</v>
      </c>
      <c r="F767" t="s">
        <v>1324</v>
      </c>
      <c r="G767" t="s">
        <v>46</v>
      </c>
    </row>
    <row r="768" spans="1:7" x14ac:dyDescent="0.35">
      <c r="A768" t="s">
        <v>2138</v>
      </c>
      <c r="B768" s="4" t="s">
        <v>636</v>
      </c>
      <c r="C768">
        <v>6</v>
      </c>
      <c r="D768" s="7">
        <v>11</v>
      </c>
      <c r="E768">
        <v>1</v>
      </c>
      <c r="F768" t="s">
        <v>1324</v>
      </c>
      <c r="G768" t="s">
        <v>46</v>
      </c>
    </row>
    <row r="769" spans="1:7" x14ac:dyDescent="0.35">
      <c r="A769" t="s">
        <v>2139</v>
      </c>
      <c r="B769" s="4" t="s">
        <v>636</v>
      </c>
      <c r="C769">
        <v>9</v>
      </c>
      <c r="D769" s="7">
        <v>8</v>
      </c>
      <c r="E769">
        <v>1</v>
      </c>
      <c r="F769" t="s">
        <v>1324</v>
      </c>
      <c r="G769" t="s">
        <v>46</v>
      </c>
    </row>
    <row r="770" spans="1:7" x14ac:dyDescent="0.35">
      <c r="A770" t="s">
        <v>2140</v>
      </c>
      <c r="B770" s="4" t="s">
        <v>642</v>
      </c>
      <c r="C770">
        <v>1</v>
      </c>
      <c r="D770" s="7">
        <v>4</v>
      </c>
      <c r="E770">
        <v>1</v>
      </c>
      <c r="F770" t="s">
        <v>1321</v>
      </c>
      <c r="G770" t="s">
        <v>46</v>
      </c>
    </row>
    <row r="771" spans="1:7" x14ac:dyDescent="0.35">
      <c r="A771" t="s">
        <v>2141</v>
      </c>
      <c r="B771" s="4" t="s">
        <v>642</v>
      </c>
      <c r="C771">
        <v>1</v>
      </c>
      <c r="D771" s="7">
        <v>1</v>
      </c>
      <c r="E771">
        <v>2</v>
      </c>
      <c r="F771" t="s">
        <v>1321</v>
      </c>
      <c r="G771" t="s">
        <v>54</v>
      </c>
    </row>
    <row r="772" spans="1:7" x14ac:dyDescent="0.35">
      <c r="A772" t="s">
        <v>2142</v>
      </c>
      <c r="B772" s="4" t="s">
        <v>642</v>
      </c>
      <c r="C772">
        <v>4</v>
      </c>
      <c r="D772" s="7">
        <v>11</v>
      </c>
      <c r="E772">
        <v>1</v>
      </c>
      <c r="F772" t="s">
        <v>1324</v>
      </c>
      <c r="G772" t="s">
        <v>46</v>
      </c>
    </row>
    <row r="773" spans="1:7" x14ac:dyDescent="0.35">
      <c r="A773" t="s">
        <v>2143</v>
      </c>
      <c r="B773" s="4" t="s">
        <v>642</v>
      </c>
      <c r="C773">
        <v>5</v>
      </c>
      <c r="D773" s="7">
        <v>9</v>
      </c>
      <c r="E773">
        <v>1</v>
      </c>
      <c r="F773" t="s">
        <v>1324</v>
      </c>
      <c r="G773" t="s">
        <v>46</v>
      </c>
    </row>
    <row r="774" spans="1:7" x14ac:dyDescent="0.35">
      <c r="A774" t="s">
        <v>2144</v>
      </c>
      <c r="B774" s="4" t="s">
        <v>642</v>
      </c>
      <c r="C774">
        <v>6</v>
      </c>
      <c r="D774" s="7">
        <v>11</v>
      </c>
      <c r="E774">
        <v>1</v>
      </c>
      <c r="F774" t="s">
        <v>1324</v>
      </c>
      <c r="G774" t="s">
        <v>46</v>
      </c>
    </row>
    <row r="775" spans="1:7" x14ac:dyDescent="0.35">
      <c r="A775" t="s">
        <v>2145</v>
      </c>
      <c r="B775" s="4" t="s">
        <v>642</v>
      </c>
      <c r="C775">
        <v>9</v>
      </c>
      <c r="D775" s="7">
        <v>11</v>
      </c>
      <c r="E775">
        <v>1</v>
      </c>
      <c r="F775" t="s">
        <v>1324</v>
      </c>
      <c r="G775" t="s">
        <v>46</v>
      </c>
    </row>
    <row r="776" spans="1:7" x14ac:dyDescent="0.35">
      <c r="A776" t="s">
        <v>2146</v>
      </c>
      <c r="B776" s="4" t="s">
        <v>647</v>
      </c>
      <c r="C776">
        <v>4</v>
      </c>
      <c r="D776" s="7">
        <v>4</v>
      </c>
      <c r="E776">
        <v>1</v>
      </c>
      <c r="F776" t="s">
        <v>1324</v>
      </c>
      <c r="G776" t="s">
        <v>46</v>
      </c>
    </row>
    <row r="777" spans="1:7" x14ac:dyDescent="0.35">
      <c r="A777" t="s">
        <v>2147</v>
      </c>
      <c r="B777" s="4" t="s">
        <v>647</v>
      </c>
      <c r="C777">
        <v>5</v>
      </c>
      <c r="D777" s="7">
        <v>6</v>
      </c>
      <c r="E777">
        <v>1</v>
      </c>
      <c r="F777" t="s">
        <v>1324</v>
      </c>
      <c r="G777" t="s">
        <v>46</v>
      </c>
    </row>
    <row r="778" spans="1:7" x14ac:dyDescent="0.35">
      <c r="A778" t="s">
        <v>2148</v>
      </c>
      <c r="B778" s="4" t="s">
        <v>647</v>
      </c>
      <c r="C778">
        <v>6</v>
      </c>
      <c r="D778" s="7">
        <v>5</v>
      </c>
      <c r="E778">
        <v>1</v>
      </c>
      <c r="F778" t="s">
        <v>1324</v>
      </c>
      <c r="G778" t="s">
        <v>46</v>
      </c>
    </row>
    <row r="779" spans="1:7" x14ac:dyDescent="0.35">
      <c r="A779" t="s">
        <v>2149</v>
      </c>
      <c r="B779" s="4" t="s">
        <v>647</v>
      </c>
      <c r="C779">
        <v>9</v>
      </c>
      <c r="D779" s="7">
        <v>5</v>
      </c>
      <c r="E779">
        <v>1</v>
      </c>
      <c r="F779" t="s">
        <v>1324</v>
      </c>
      <c r="G779" t="s">
        <v>46</v>
      </c>
    </row>
    <row r="780" spans="1:7" x14ac:dyDescent="0.35">
      <c r="A780" t="s">
        <v>2150</v>
      </c>
      <c r="B780" s="4" t="s">
        <v>2151</v>
      </c>
      <c r="C780">
        <v>4</v>
      </c>
      <c r="D780" s="7">
        <v>4</v>
      </c>
      <c r="E780">
        <v>1</v>
      </c>
      <c r="F780" t="s">
        <v>1324</v>
      </c>
      <c r="G780" t="s">
        <v>46</v>
      </c>
    </row>
    <row r="781" spans="1:7" x14ac:dyDescent="0.35">
      <c r="A781" t="s">
        <v>2152</v>
      </c>
      <c r="B781" s="4" t="s">
        <v>2151</v>
      </c>
      <c r="C781">
        <v>5</v>
      </c>
      <c r="D781" s="7">
        <v>5</v>
      </c>
      <c r="E781">
        <v>1</v>
      </c>
      <c r="F781" t="s">
        <v>1324</v>
      </c>
      <c r="G781" t="s">
        <v>46</v>
      </c>
    </row>
    <row r="782" spans="1:7" x14ac:dyDescent="0.35">
      <c r="A782" t="s">
        <v>2153</v>
      </c>
      <c r="B782" s="4" t="s">
        <v>2151</v>
      </c>
      <c r="C782">
        <v>6</v>
      </c>
      <c r="D782" s="7">
        <v>4</v>
      </c>
      <c r="E782">
        <v>1</v>
      </c>
      <c r="F782" t="s">
        <v>1324</v>
      </c>
      <c r="G782" t="s">
        <v>46</v>
      </c>
    </row>
    <row r="783" spans="1:7" x14ac:dyDescent="0.35">
      <c r="A783" t="s">
        <v>2154</v>
      </c>
      <c r="B783" s="4" t="s">
        <v>2151</v>
      </c>
      <c r="C783">
        <v>9</v>
      </c>
      <c r="D783" s="7">
        <v>6</v>
      </c>
      <c r="E783">
        <v>1</v>
      </c>
      <c r="F783" t="s">
        <v>1324</v>
      </c>
      <c r="G783" t="s">
        <v>46</v>
      </c>
    </row>
    <row r="784" spans="1:7" x14ac:dyDescent="0.35">
      <c r="A784" t="s">
        <v>2155</v>
      </c>
      <c r="B784" s="4" t="s">
        <v>653</v>
      </c>
      <c r="C784">
        <v>1</v>
      </c>
      <c r="D784" s="7">
        <v>2</v>
      </c>
      <c r="E784">
        <v>2</v>
      </c>
      <c r="F784" t="s">
        <v>1321</v>
      </c>
      <c r="G784" t="s">
        <v>54</v>
      </c>
    </row>
    <row r="785" spans="1:7" x14ac:dyDescent="0.35">
      <c r="A785" t="s">
        <v>2156</v>
      </c>
      <c r="B785" s="4" t="s">
        <v>653</v>
      </c>
      <c r="C785">
        <v>4</v>
      </c>
      <c r="D785" s="7">
        <v>12</v>
      </c>
      <c r="E785">
        <v>1</v>
      </c>
      <c r="F785" t="s">
        <v>1324</v>
      </c>
      <c r="G785" t="s">
        <v>46</v>
      </c>
    </row>
    <row r="786" spans="1:7" x14ac:dyDescent="0.35">
      <c r="A786" t="s">
        <v>2157</v>
      </c>
      <c r="B786" s="4" t="s">
        <v>653</v>
      </c>
      <c r="C786">
        <v>5</v>
      </c>
      <c r="D786" s="7">
        <v>8</v>
      </c>
      <c r="E786">
        <v>1</v>
      </c>
      <c r="F786" t="s">
        <v>1324</v>
      </c>
      <c r="G786" t="s">
        <v>46</v>
      </c>
    </row>
    <row r="787" spans="1:7" x14ac:dyDescent="0.35">
      <c r="A787" t="s">
        <v>2158</v>
      </c>
      <c r="B787" s="4" t="s">
        <v>653</v>
      </c>
      <c r="C787">
        <v>6</v>
      </c>
      <c r="D787" s="7">
        <v>10</v>
      </c>
      <c r="E787">
        <v>1</v>
      </c>
      <c r="F787" t="s">
        <v>1324</v>
      </c>
      <c r="G787" t="s">
        <v>46</v>
      </c>
    </row>
    <row r="788" spans="1:7" x14ac:dyDescent="0.35">
      <c r="A788" t="s">
        <v>2159</v>
      </c>
      <c r="B788" s="4" t="s">
        <v>653</v>
      </c>
      <c r="C788">
        <v>9</v>
      </c>
      <c r="D788" s="7">
        <v>14</v>
      </c>
      <c r="E788">
        <v>1</v>
      </c>
      <c r="F788" t="s">
        <v>1324</v>
      </c>
      <c r="G788" t="s">
        <v>46</v>
      </c>
    </row>
    <row r="789" spans="1:7" x14ac:dyDescent="0.35">
      <c r="A789" t="s">
        <v>2160</v>
      </c>
      <c r="B789" s="4" t="s">
        <v>2161</v>
      </c>
      <c r="C789">
        <v>4</v>
      </c>
      <c r="D789" s="7">
        <v>13</v>
      </c>
      <c r="E789">
        <v>1</v>
      </c>
      <c r="F789" t="s">
        <v>1324</v>
      </c>
      <c r="G789" t="s">
        <v>46</v>
      </c>
    </row>
    <row r="790" spans="1:7" x14ac:dyDescent="0.35">
      <c r="A790" t="s">
        <v>2162</v>
      </c>
      <c r="B790" s="4" t="s">
        <v>2161</v>
      </c>
      <c r="C790">
        <v>5</v>
      </c>
      <c r="D790" s="7">
        <v>9</v>
      </c>
      <c r="E790">
        <v>1</v>
      </c>
      <c r="F790" t="s">
        <v>1324</v>
      </c>
      <c r="G790" t="s">
        <v>46</v>
      </c>
    </row>
    <row r="791" spans="1:7" x14ac:dyDescent="0.35">
      <c r="A791" t="s">
        <v>2163</v>
      </c>
      <c r="B791" s="4" t="s">
        <v>2161</v>
      </c>
      <c r="C791">
        <v>6</v>
      </c>
      <c r="D791" s="7">
        <v>15</v>
      </c>
      <c r="E791">
        <v>1</v>
      </c>
      <c r="F791" t="s">
        <v>1324</v>
      </c>
      <c r="G791" t="s">
        <v>46</v>
      </c>
    </row>
    <row r="792" spans="1:7" x14ac:dyDescent="0.35">
      <c r="A792" t="s">
        <v>2164</v>
      </c>
      <c r="B792" s="4" t="s">
        <v>2161</v>
      </c>
      <c r="C792">
        <v>9</v>
      </c>
      <c r="D792" s="7">
        <v>11</v>
      </c>
      <c r="E792">
        <v>1</v>
      </c>
      <c r="F792" t="s">
        <v>1324</v>
      </c>
      <c r="G792" t="s">
        <v>46</v>
      </c>
    </row>
    <row r="793" spans="1:7" x14ac:dyDescent="0.35">
      <c r="A793" t="s">
        <v>2165</v>
      </c>
      <c r="B793" s="4" t="s">
        <v>655</v>
      </c>
      <c r="C793">
        <v>1</v>
      </c>
      <c r="D793" s="7">
        <v>3</v>
      </c>
      <c r="E793">
        <v>2</v>
      </c>
      <c r="F793" t="s">
        <v>1321</v>
      </c>
      <c r="G793" t="s">
        <v>54</v>
      </c>
    </row>
    <row r="794" spans="1:7" x14ac:dyDescent="0.35">
      <c r="A794" t="s">
        <v>2166</v>
      </c>
      <c r="B794" s="4" t="s">
        <v>655</v>
      </c>
      <c r="C794">
        <v>4</v>
      </c>
      <c r="D794" s="7">
        <v>15</v>
      </c>
      <c r="E794">
        <v>1</v>
      </c>
      <c r="F794" t="s">
        <v>1324</v>
      </c>
      <c r="G794" t="s">
        <v>46</v>
      </c>
    </row>
    <row r="795" spans="1:7" x14ac:dyDescent="0.35">
      <c r="A795" t="s">
        <v>2167</v>
      </c>
      <c r="B795" s="4" t="s">
        <v>655</v>
      </c>
      <c r="C795">
        <v>5</v>
      </c>
      <c r="D795" s="7">
        <v>8</v>
      </c>
      <c r="E795">
        <v>1</v>
      </c>
      <c r="F795" t="s">
        <v>1324</v>
      </c>
      <c r="G795" t="s">
        <v>46</v>
      </c>
    </row>
    <row r="796" spans="1:7" x14ac:dyDescent="0.35">
      <c r="A796" t="s">
        <v>2168</v>
      </c>
      <c r="B796" s="4" t="s">
        <v>655</v>
      </c>
      <c r="C796">
        <v>6</v>
      </c>
      <c r="D796" s="7">
        <v>8</v>
      </c>
      <c r="E796">
        <v>1</v>
      </c>
      <c r="F796" t="s">
        <v>1324</v>
      </c>
      <c r="G796" t="s">
        <v>46</v>
      </c>
    </row>
    <row r="797" spans="1:7" x14ac:dyDescent="0.35">
      <c r="A797" t="s">
        <v>2169</v>
      </c>
      <c r="B797" s="4" t="s">
        <v>655</v>
      </c>
      <c r="C797">
        <v>9</v>
      </c>
      <c r="D797" s="7">
        <v>15</v>
      </c>
      <c r="E797">
        <v>1</v>
      </c>
      <c r="F797" t="s">
        <v>1324</v>
      </c>
      <c r="G797" t="s">
        <v>46</v>
      </c>
    </row>
    <row r="798" spans="1:7" x14ac:dyDescent="0.35">
      <c r="A798" t="s">
        <v>2170</v>
      </c>
      <c r="B798" s="4" t="s">
        <v>667</v>
      </c>
      <c r="C798">
        <v>4</v>
      </c>
      <c r="D798" s="7">
        <v>15</v>
      </c>
      <c r="E798">
        <v>1</v>
      </c>
      <c r="F798" t="s">
        <v>1324</v>
      </c>
      <c r="G798" t="s">
        <v>46</v>
      </c>
    </row>
    <row r="799" spans="1:7" x14ac:dyDescent="0.35">
      <c r="A799" t="s">
        <v>2171</v>
      </c>
      <c r="B799" s="4" t="s">
        <v>667</v>
      </c>
      <c r="C799">
        <v>5</v>
      </c>
      <c r="D799" s="7">
        <v>9</v>
      </c>
      <c r="E799">
        <v>1</v>
      </c>
      <c r="F799" t="s">
        <v>1324</v>
      </c>
      <c r="G799" t="s">
        <v>46</v>
      </c>
    </row>
    <row r="800" spans="1:7" x14ac:dyDescent="0.35">
      <c r="A800" t="s">
        <v>2172</v>
      </c>
      <c r="B800" s="4" t="s">
        <v>667</v>
      </c>
      <c r="C800">
        <v>6</v>
      </c>
      <c r="D800" s="7">
        <v>9</v>
      </c>
      <c r="E800">
        <v>1</v>
      </c>
      <c r="F800" t="s">
        <v>1324</v>
      </c>
      <c r="G800" t="s">
        <v>46</v>
      </c>
    </row>
    <row r="801" spans="1:7" x14ac:dyDescent="0.35">
      <c r="A801" t="s">
        <v>2173</v>
      </c>
      <c r="B801" s="4" t="s">
        <v>667</v>
      </c>
      <c r="C801">
        <v>9</v>
      </c>
      <c r="D801" s="7">
        <v>13</v>
      </c>
      <c r="E801">
        <v>1</v>
      </c>
      <c r="F801" t="s">
        <v>1324</v>
      </c>
      <c r="G801" t="s">
        <v>46</v>
      </c>
    </row>
    <row r="802" spans="1:7" x14ac:dyDescent="0.35">
      <c r="A802" t="s">
        <v>2174</v>
      </c>
      <c r="B802" s="4" t="s">
        <v>672</v>
      </c>
      <c r="C802">
        <v>1</v>
      </c>
      <c r="D802" s="7">
        <v>2</v>
      </c>
      <c r="E802">
        <v>2</v>
      </c>
      <c r="F802" t="s">
        <v>1321</v>
      </c>
      <c r="G802" t="s">
        <v>54</v>
      </c>
    </row>
    <row r="803" spans="1:7" x14ac:dyDescent="0.35">
      <c r="A803" t="s">
        <v>2175</v>
      </c>
      <c r="B803" s="4" t="s">
        <v>672</v>
      </c>
      <c r="C803">
        <v>4</v>
      </c>
      <c r="D803" s="7">
        <v>13</v>
      </c>
      <c r="E803">
        <v>1</v>
      </c>
      <c r="F803" t="s">
        <v>1324</v>
      </c>
      <c r="G803" t="s">
        <v>46</v>
      </c>
    </row>
    <row r="804" spans="1:7" x14ac:dyDescent="0.35">
      <c r="A804" t="s">
        <v>2176</v>
      </c>
      <c r="B804" s="4" t="s">
        <v>672</v>
      </c>
      <c r="C804">
        <v>5</v>
      </c>
      <c r="D804" s="7">
        <v>14</v>
      </c>
      <c r="E804">
        <v>1</v>
      </c>
      <c r="F804" t="s">
        <v>1324</v>
      </c>
      <c r="G804" t="s">
        <v>46</v>
      </c>
    </row>
    <row r="805" spans="1:7" x14ac:dyDescent="0.35">
      <c r="A805" t="s">
        <v>2177</v>
      </c>
      <c r="B805" s="4" t="s">
        <v>672</v>
      </c>
      <c r="C805">
        <v>6</v>
      </c>
      <c r="D805" s="7">
        <v>12</v>
      </c>
      <c r="E805">
        <v>1</v>
      </c>
      <c r="F805" t="s">
        <v>1324</v>
      </c>
      <c r="G805" t="s">
        <v>46</v>
      </c>
    </row>
    <row r="806" spans="1:7" x14ac:dyDescent="0.35">
      <c r="A806" t="s">
        <v>2178</v>
      </c>
      <c r="B806" s="4" t="s">
        <v>672</v>
      </c>
      <c r="C806">
        <v>9</v>
      </c>
      <c r="D806" s="7">
        <v>15</v>
      </c>
      <c r="E806">
        <v>1</v>
      </c>
      <c r="F806" t="s">
        <v>1324</v>
      </c>
      <c r="G806" t="s">
        <v>46</v>
      </c>
    </row>
    <row r="807" spans="1:7" x14ac:dyDescent="0.35">
      <c r="A807" t="s">
        <v>2179</v>
      </c>
      <c r="B807" s="4" t="s">
        <v>676</v>
      </c>
      <c r="C807">
        <v>4</v>
      </c>
      <c r="D807" s="7">
        <v>4</v>
      </c>
      <c r="E807">
        <v>1</v>
      </c>
      <c r="F807" t="s">
        <v>1324</v>
      </c>
      <c r="G807" t="s">
        <v>46</v>
      </c>
    </row>
    <row r="808" spans="1:7" x14ac:dyDescent="0.35">
      <c r="A808" t="s">
        <v>2180</v>
      </c>
      <c r="B808" s="4" t="s">
        <v>676</v>
      </c>
      <c r="C808">
        <v>5</v>
      </c>
      <c r="D808" s="7">
        <v>5</v>
      </c>
      <c r="E808">
        <v>1</v>
      </c>
      <c r="F808" t="s">
        <v>1324</v>
      </c>
      <c r="G808" t="s">
        <v>46</v>
      </c>
    </row>
    <row r="809" spans="1:7" x14ac:dyDescent="0.35">
      <c r="A809" t="s">
        <v>2181</v>
      </c>
      <c r="B809" s="4" t="s">
        <v>676</v>
      </c>
      <c r="C809">
        <v>6</v>
      </c>
      <c r="D809" s="7">
        <v>7</v>
      </c>
      <c r="E809">
        <v>1</v>
      </c>
      <c r="F809" t="s">
        <v>1324</v>
      </c>
      <c r="G809" t="s">
        <v>46</v>
      </c>
    </row>
    <row r="810" spans="1:7" x14ac:dyDescent="0.35">
      <c r="A810" t="s">
        <v>2182</v>
      </c>
      <c r="B810" s="4" t="s">
        <v>676</v>
      </c>
      <c r="C810">
        <v>9</v>
      </c>
      <c r="D810" s="7">
        <v>7</v>
      </c>
      <c r="E810">
        <v>1</v>
      </c>
      <c r="F810" t="s">
        <v>1324</v>
      </c>
      <c r="G810" t="s">
        <v>46</v>
      </c>
    </row>
    <row r="811" spans="1:7" x14ac:dyDescent="0.35">
      <c r="A811" t="s">
        <v>2183</v>
      </c>
      <c r="B811" s="4" t="s">
        <v>2184</v>
      </c>
      <c r="C811">
        <v>4</v>
      </c>
      <c r="D811" s="7">
        <v>7</v>
      </c>
      <c r="E811">
        <v>1</v>
      </c>
      <c r="F811" t="s">
        <v>1324</v>
      </c>
      <c r="G811" t="s">
        <v>46</v>
      </c>
    </row>
    <row r="812" spans="1:7" x14ac:dyDescent="0.35">
      <c r="A812" t="s">
        <v>2185</v>
      </c>
      <c r="B812" s="4" t="s">
        <v>2184</v>
      </c>
      <c r="C812">
        <v>5</v>
      </c>
      <c r="D812" s="7">
        <v>7</v>
      </c>
      <c r="E812">
        <v>1</v>
      </c>
      <c r="F812" t="s">
        <v>1324</v>
      </c>
      <c r="G812" t="s">
        <v>46</v>
      </c>
    </row>
    <row r="813" spans="1:7" x14ac:dyDescent="0.35">
      <c r="A813" t="s">
        <v>2186</v>
      </c>
      <c r="B813" s="4" t="s">
        <v>2184</v>
      </c>
      <c r="C813">
        <v>6</v>
      </c>
      <c r="D813" s="7">
        <v>4</v>
      </c>
      <c r="E813">
        <v>1</v>
      </c>
      <c r="F813" t="s">
        <v>1324</v>
      </c>
      <c r="G813" t="s">
        <v>46</v>
      </c>
    </row>
    <row r="814" spans="1:7" x14ac:dyDescent="0.35">
      <c r="A814" t="s">
        <v>2187</v>
      </c>
      <c r="B814" s="4" t="s">
        <v>2184</v>
      </c>
      <c r="C814">
        <v>9</v>
      </c>
      <c r="D814" s="7">
        <v>6</v>
      </c>
      <c r="E814">
        <v>1</v>
      </c>
      <c r="F814" t="s">
        <v>1324</v>
      </c>
      <c r="G814" t="s">
        <v>46</v>
      </c>
    </row>
    <row r="815" spans="1:7" x14ac:dyDescent="0.35">
      <c r="A815" t="s">
        <v>2188</v>
      </c>
      <c r="B815" s="4" t="s">
        <v>681</v>
      </c>
      <c r="C815">
        <v>4</v>
      </c>
      <c r="D815" s="7">
        <v>10</v>
      </c>
      <c r="E815">
        <v>1</v>
      </c>
      <c r="F815" t="s">
        <v>1324</v>
      </c>
      <c r="G815" t="s">
        <v>46</v>
      </c>
    </row>
    <row r="816" spans="1:7" x14ac:dyDescent="0.35">
      <c r="A816" t="s">
        <v>2189</v>
      </c>
      <c r="B816" s="4" t="s">
        <v>681</v>
      </c>
      <c r="C816">
        <v>5</v>
      </c>
      <c r="D816" s="7">
        <v>15</v>
      </c>
      <c r="E816">
        <v>1</v>
      </c>
      <c r="F816" t="s">
        <v>1324</v>
      </c>
      <c r="G816" t="s">
        <v>46</v>
      </c>
    </row>
    <row r="817" spans="1:7" x14ac:dyDescent="0.35">
      <c r="A817" t="s">
        <v>2190</v>
      </c>
      <c r="B817" s="4" t="s">
        <v>681</v>
      </c>
      <c r="C817">
        <v>6</v>
      </c>
      <c r="D817" s="7">
        <v>9</v>
      </c>
      <c r="E817">
        <v>1</v>
      </c>
      <c r="F817" t="s">
        <v>1324</v>
      </c>
      <c r="G817" t="s">
        <v>46</v>
      </c>
    </row>
    <row r="818" spans="1:7" x14ac:dyDescent="0.35">
      <c r="A818" t="s">
        <v>2191</v>
      </c>
      <c r="B818" s="4" t="s">
        <v>681</v>
      </c>
      <c r="C818">
        <v>9</v>
      </c>
      <c r="D818" s="7">
        <v>9</v>
      </c>
      <c r="E818">
        <v>1</v>
      </c>
      <c r="F818" t="s">
        <v>1324</v>
      </c>
      <c r="G818" t="s">
        <v>46</v>
      </c>
    </row>
    <row r="819" spans="1:7" x14ac:dyDescent="0.35">
      <c r="A819" t="s">
        <v>2192</v>
      </c>
      <c r="B819" s="4" t="s">
        <v>683</v>
      </c>
      <c r="C819">
        <v>1</v>
      </c>
      <c r="D819" s="7">
        <v>1</v>
      </c>
      <c r="E819">
        <v>2</v>
      </c>
      <c r="F819" t="s">
        <v>1321</v>
      </c>
      <c r="G819" t="s">
        <v>54</v>
      </c>
    </row>
    <row r="820" spans="1:7" x14ac:dyDescent="0.35">
      <c r="A820" t="s">
        <v>2193</v>
      </c>
      <c r="B820" s="4" t="s">
        <v>683</v>
      </c>
      <c r="C820">
        <v>4</v>
      </c>
      <c r="D820" s="7">
        <v>13</v>
      </c>
      <c r="E820">
        <v>1</v>
      </c>
      <c r="F820" t="s">
        <v>1324</v>
      </c>
      <c r="G820" t="s">
        <v>46</v>
      </c>
    </row>
    <row r="821" spans="1:7" x14ac:dyDescent="0.35">
      <c r="A821" t="s">
        <v>2194</v>
      </c>
      <c r="B821" s="4" t="s">
        <v>683</v>
      </c>
      <c r="C821">
        <v>5</v>
      </c>
      <c r="D821" s="7">
        <v>10</v>
      </c>
      <c r="E821">
        <v>1</v>
      </c>
      <c r="F821" t="s">
        <v>1324</v>
      </c>
      <c r="G821" t="s">
        <v>46</v>
      </c>
    </row>
    <row r="822" spans="1:7" x14ac:dyDescent="0.35">
      <c r="A822" t="s">
        <v>2195</v>
      </c>
      <c r="B822" s="4" t="s">
        <v>683</v>
      </c>
      <c r="C822">
        <v>6</v>
      </c>
      <c r="D822" s="7">
        <v>8</v>
      </c>
      <c r="E822">
        <v>1</v>
      </c>
      <c r="F822" t="s">
        <v>1324</v>
      </c>
      <c r="G822" t="s">
        <v>46</v>
      </c>
    </row>
    <row r="823" spans="1:7" x14ac:dyDescent="0.35">
      <c r="A823" t="s">
        <v>2196</v>
      </c>
      <c r="B823" s="4" t="s">
        <v>683</v>
      </c>
      <c r="C823">
        <v>9</v>
      </c>
      <c r="D823" s="7">
        <v>13</v>
      </c>
      <c r="E823">
        <v>1</v>
      </c>
      <c r="F823" t="s">
        <v>1324</v>
      </c>
      <c r="G823" t="s">
        <v>46</v>
      </c>
    </row>
    <row r="824" spans="1:7" x14ac:dyDescent="0.35">
      <c r="A824" t="s">
        <v>2197</v>
      </c>
      <c r="B824" s="4" t="s">
        <v>692</v>
      </c>
      <c r="C824">
        <v>4</v>
      </c>
      <c r="D824" s="7">
        <v>14</v>
      </c>
      <c r="E824">
        <v>1</v>
      </c>
      <c r="F824" t="s">
        <v>1324</v>
      </c>
      <c r="G824" t="s">
        <v>46</v>
      </c>
    </row>
    <row r="825" spans="1:7" x14ac:dyDescent="0.35">
      <c r="A825" t="s">
        <v>2198</v>
      </c>
      <c r="B825" s="4" t="s">
        <v>692</v>
      </c>
      <c r="C825">
        <v>5</v>
      </c>
      <c r="D825" s="7">
        <v>8</v>
      </c>
      <c r="E825">
        <v>1</v>
      </c>
      <c r="F825" t="s">
        <v>1324</v>
      </c>
      <c r="G825" t="s">
        <v>46</v>
      </c>
    </row>
    <row r="826" spans="1:7" x14ac:dyDescent="0.35">
      <c r="A826" t="s">
        <v>2199</v>
      </c>
      <c r="B826" s="4" t="s">
        <v>692</v>
      </c>
      <c r="C826">
        <v>6</v>
      </c>
      <c r="D826" s="7">
        <v>12</v>
      </c>
      <c r="E826">
        <v>1</v>
      </c>
      <c r="F826" t="s">
        <v>1324</v>
      </c>
      <c r="G826" t="s">
        <v>46</v>
      </c>
    </row>
    <row r="827" spans="1:7" x14ac:dyDescent="0.35">
      <c r="A827" t="s">
        <v>2200</v>
      </c>
      <c r="B827" s="4" t="s">
        <v>692</v>
      </c>
      <c r="C827">
        <v>9</v>
      </c>
      <c r="D827" s="7">
        <v>12</v>
      </c>
      <c r="E827">
        <v>1</v>
      </c>
      <c r="F827" t="s">
        <v>1324</v>
      </c>
      <c r="G827" t="s">
        <v>46</v>
      </c>
    </row>
    <row r="828" spans="1:7" x14ac:dyDescent="0.35">
      <c r="A828" t="s">
        <v>2201</v>
      </c>
      <c r="B828" s="4" t="s">
        <v>700</v>
      </c>
      <c r="C828">
        <v>1</v>
      </c>
      <c r="D828" s="7">
        <v>3</v>
      </c>
      <c r="E828">
        <v>1</v>
      </c>
      <c r="F828" t="s">
        <v>1321</v>
      </c>
      <c r="G828" t="s">
        <v>46</v>
      </c>
    </row>
    <row r="829" spans="1:7" x14ac:dyDescent="0.35">
      <c r="A829" t="s">
        <v>2202</v>
      </c>
      <c r="B829" s="4" t="s">
        <v>700</v>
      </c>
      <c r="C829">
        <v>1</v>
      </c>
      <c r="D829" s="7">
        <v>2</v>
      </c>
      <c r="E829">
        <v>2</v>
      </c>
      <c r="F829" t="s">
        <v>1321</v>
      </c>
      <c r="G829" t="s">
        <v>54</v>
      </c>
    </row>
    <row r="830" spans="1:7" x14ac:dyDescent="0.35">
      <c r="A830" t="s">
        <v>2203</v>
      </c>
      <c r="B830" s="4" t="s">
        <v>700</v>
      </c>
      <c r="C830">
        <v>4</v>
      </c>
      <c r="D830" s="7">
        <v>9</v>
      </c>
      <c r="E830">
        <v>1</v>
      </c>
      <c r="F830" t="s">
        <v>1324</v>
      </c>
      <c r="G830" t="s">
        <v>46</v>
      </c>
    </row>
    <row r="831" spans="1:7" x14ac:dyDescent="0.35">
      <c r="A831" t="s">
        <v>2204</v>
      </c>
      <c r="B831" s="4" t="s">
        <v>700</v>
      </c>
      <c r="C831">
        <v>5</v>
      </c>
      <c r="D831" s="7">
        <v>13</v>
      </c>
      <c r="E831">
        <v>1</v>
      </c>
      <c r="F831" t="s">
        <v>1324</v>
      </c>
      <c r="G831" t="s">
        <v>46</v>
      </c>
    </row>
    <row r="832" spans="1:7" x14ac:dyDescent="0.35">
      <c r="A832" t="s">
        <v>2205</v>
      </c>
      <c r="B832" s="4" t="s">
        <v>700</v>
      </c>
      <c r="C832">
        <v>6</v>
      </c>
      <c r="D832" s="7">
        <v>13</v>
      </c>
      <c r="E832">
        <v>1</v>
      </c>
      <c r="F832" t="s">
        <v>1324</v>
      </c>
      <c r="G832" t="s">
        <v>46</v>
      </c>
    </row>
    <row r="833" spans="1:7" x14ac:dyDescent="0.35">
      <c r="A833" t="s">
        <v>2206</v>
      </c>
      <c r="B833" s="4" t="s">
        <v>700</v>
      </c>
      <c r="C833">
        <v>9</v>
      </c>
      <c r="D833" s="7">
        <v>9</v>
      </c>
      <c r="E833">
        <v>1</v>
      </c>
      <c r="F833" t="s">
        <v>1324</v>
      </c>
      <c r="G833" t="s">
        <v>46</v>
      </c>
    </row>
    <row r="834" spans="1:7" x14ac:dyDescent="0.35">
      <c r="A834" t="s">
        <v>2207</v>
      </c>
      <c r="B834" s="4" t="s">
        <v>705</v>
      </c>
      <c r="C834">
        <v>4</v>
      </c>
      <c r="D834" s="7">
        <v>8</v>
      </c>
      <c r="E834">
        <v>1</v>
      </c>
      <c r="F834" t="s">
        <v>1324</v>
      </c>
      <c r="G834" t="s">
        <v>46</v>
      </c>
    </row>
    <row r="835" spans="1:7" x14ac:dyDescent="0.35">
      <c r="A835" t="s">
        <v>2208</v>
      </c>
      <c r="B835" s="4" t="s">
        <v>705</v>
      </c>
      <c r="C835">
        <v>5</v>
      </c>
      <c r="D835" s="7">
        <v>12</v>
      </c>
      <c r="E835">
        <v>1</v>
      </c>
      <c r="F835" t="s">
        <v>1324</v>
      </c>
      <c r="G835" t="s">
        <v>46</v>
      </c>
    </row>
    <row r="836" spans="1:7" x14ac:dyDescent="0.35">
      <c r="A836" t="s">
        <v>2209</v>
      </c>
      <c r="B836" s="4" t="s">
        <v>705</v>
      </c>
      <c r="C836">
        <v>6</v>
      </c>
      <c r="D836" s="7">
        <v>8</v>
      </c>
      <c r="E836">
        <v>1</v>
      </c>
      <c r="F836" t="s">
        <v>1324</v>
      </c>
      <c r="G836" t="s">
        <v>46</v>
      </c>
    </row>
    <row r="837" spans="1:7" x14ac:dyDescent="0.35">
      <c r="A837" t="s">
        <v>2210</v>
      </c>
      <c r="B837" s="4" t="s">
        <v>705</v>
      </c>
      <c r="C837">
        <v>9</v>
      </c>
      <c r="D837" s="7">
        <v>10</v>
      </c>
      <c r="E837">
        <v>1</v>
      </c>
      <c r="F837" t="s">
        <v>1324</v>
      </c>
      <c r="G837" t="s">
        <v>46</v>
      </c>
    </row>
    <row r="838" spans="1:7" x14ac:dyDescent="0.35">
      <c r="A838" t="s">
        <v>2211</v>
      </c>
      <c r="B838" s="4" t="s">
        <v>2212</v>
      </c>
      <c r="C838">
        <v>1</v>
      </c>
      <c r="D838" s="7">
        <v>1</v>
      </c>
      <c r="E838">
        <v>1</v>
      </c>
      <c r="F838" t="s">
        <v>1321</v>
      </c>
      <c r="G838" t="s">
        <v>46</v>
      </c>
    </row>
    <row r="839" spans="1:7" x14ac:dyDescent="0.35">
      <c r="A839" t="s">
        <v>2213</v>
      </c>
      <c r="B839" s="4" t="s">
        <v>2212</v>
      </c>
      <c r="C839">
        <v>4</v>
      </c>
      <c r="D839" s="7">
        <v>5</v>
      </c>
      <c r="E839">
        <v>1</v>
      </c>
      <c r="F839" t="s">
        <v>1324</v>
      </c>
      <c r="G839" t="s">
        <v>46</v>
      </c>
    </row>
    <row r="840" spans="1:7" x14ac:dyDescent="0.35">
      <c r="A840" t="s">
        <v>2214</v>
      </c>
      <c r="B840" s="4" t="s">
        <v>2212</v>
      </c>
      <c r="C840">
        <v>5</v>
      </c>
      <c r="D840" s="7">
        <v>5</v>
      </c>
      <c r="E840">
        <v>1</v>
      </c>
      <c r="F840" t="s">
        <v>1324</v>
      </c>
      <c r="G840" t="s">
        <v>46</v>
      </c>
    </row>
    <row r="841" spans="1:7" x14ac:dyDescent="0.35">
      <c r="A841" t="s">
        <v>2215</v>
      </c>
      <c r="B841" s="4" t="s">
        <v>2212</v>
      </c>
      <c r="C841">
        <v>6</v>
      </c>
      <c r="D841" s="7">
        <v>7</v>
      </c>
      <c r="E841">
        <v>1</v>
      </c>
      <c r="F841" t="s">
        <v>1324</v>
      </c>
      <c r="G841" t="s">
        <v>46</v>
      </c>
    </row>
    <row r="842" spans="1:7" x14ac:dyDescent="0.35">
      <c r="A842" t="s">
        <v>2216</v>
      </c>
      <c r="B842" s="4" t="s">
        <v>2212</v>
      </c>
      <c r="C842">
        <v>9</v>
      </c>
      <c r="D842" s="7">
        <v>4</v>
      </c>
      <c r="E842">
        <v>1</v>
      </c>
      <c r="F842" t="s">
        <v>1324</v>
      </c>
      <c r="G842" t="s">
        <v>46</v>
      </c>
    </row>
    <row r="843" spans="1:7" x14ac:dyDescent="0.35">
      <c r="A843" t="s">
        <v>2217</v>
      </c>
      <c r="B843" s="4" t="s">
        <v>2218</v>
      </c>
      <c r="C843">
        <v>4</v>
      </c>
      <c r="D843" s="7">
        <v>7</v>
      </c>
      <c r="E843">
        <v>1</v>
      </c>
      <c r="F843" t="s">
        <v>1324</v>
      </c>
      <c r="G843" t="s">
        <v>46</v>
      </c>
    </row>
    <row r="844" spans="1:7" x14ac:dyDescent="0.35">
      <c r="A844" t="s">
        <v>2219</v>
      </c>
      <c r="B844" s="4" t="s">
        <v>2218</v>
      </c>
      <c r="C844">
        <v>5</v>
      </c>
      <c r="D844" s="7">
        <v>7</v>
      </c>
      <c r="E844">
        <v>1</v>
      </c>
      <c r="F844" t="s">
        <v>1324</v>
      </c>
      <c r="G844" t="s">
        <v>46</v>
      </c>
    </row>
    <row r="845" spans="1:7" x14ac:dyDescent="0.35">
      <c r="A845" t="s">
        <v>2220</v>
      </c>
      <c r="B845" s="4" t="s">
        <v>2218</v>
      </c>
      <c r="C845">
        <v>6</v>
      </c>
      <c r="D845" s="7">
        <v>6</v>
      </c>
      <c r="E845">
        <v>1</v>
      </c>
      <c r="F845" t="s">
        <v>1324</v>
      </c>
      <c r="G845" t="s">
        <v>46</v>
      </c>
    </row>
    <row r="846" spans="1:7" x14ac:dyDescent="0.35">
      <c r="A846" t="s">
        <v>2221</v>
      </c>
      <c r="B846" s="4" t="s">
        <v>2218</v>
      </c>
      <c r="C846">
        <v>9</v>
      </c>
      <c r="D846" s="7">
        <v>5</v>
      </c>
      <c r="E846">
        <v>1</v>
      </c>
      <c r="F846" t="s">
        <v>1324</v>
      </c>
      <c r="G846" t="s">
        <v>46</v>
      </c>
    </row>
    <row r="847" spans="1:7" x14ac:dyDescent="0.35">
      <c r="A847" t="s">
        <v>2222</v>
      </c>
      <c r="B847" s="4" t="s">
        <v>2223</v>
      </c>
      <c r="C847">
        <v>1</v>
      </c>
      <c r="D847" s="7">
        <v>4</v>
      </c>
      <c r="E847">
        <v>1</v>
      </c>
      <c r="F847" t="s">
        <v>1321</v>
      </c>
      <c r="G847" t="s">
        <v>46</v>
      </c>
    </row>
    <row r="848" spans="1:7" x14ac:dyDescent="0.35">
      <c r="A848" t="s">
        <v>2224</v>
      </c>
      <c r="B848" s="4" t="s">
        <v>2223</v>
      </c>
      <c r="C848">
        <v>4</v>
      </c>
      <c r="D848" s="7">
        <v>9</v>
      </c>
      <c r="E848">
        <v>1</v>
      </c>
      <c r="F848" t="s">
        <v>1324</v>
      </c>
      <c r="G848" t="s">
        <v>46</v>
      </c>
    </row>
    <row r="849" spans="1:7" x14ac:dyDescent="0.35">
      <c r="A849" t="s">
        <v>2225</v>
      </c>
      <c r="B849" s="4" t="s">
        <v>2223</v>
      </c>
      <c r="C849">
        <v>5</v>
      </c>
      <c r="D849" s="7">
        <v>8</v>
      </c>
      <c r="E849">
        <v>1</v>
      </c>
      <c r="F849" t="s">
        <v>1324</v>
      </c>
      <c r="G849" t="s">
        <v>46</v>
      </c>
    </row>
    <row r="850" spans="1:7" x14ac:dyDescent="0.35">
      <c r="A850" t="s">
        <v>2226</v>
      </c>
      <c r="B850" s="4" t="s">
        <v>2223</v>
      </c>
      <c r="C850">
        <v>6</v>
      </c>
      <c r="D850" s="7">
        <v>10</v>
      </c>
      <c r="E850">
        <v>1</v>
      </c>
      <c r="F850" t="s">
        <v>1324</v>
      </c>
      <c r="G850" t="s">
        <v>46</v>
      </c>
    </row>
    <row r="851" spans="1:7" x14ac:dyDescent="0.35">
      <c r="A851" t="s">
        <v>2227</v>
      </c>
      <c r="B851" s="4" t="s">
        <v>2223</v>
      </c>
      <c r="C851">
        <v>9</v>
      </c>
      <c r="D851" s="7">
        <v>10</v>
      </c>
      <c r="E851">
        <v>1</v>
      </c>
      <c r="F851" t="s">
        <v>1324</v>
      </c>
      <c r="G851" t="s">
        <v>46</v>
      </c>
    </row>
    <row r="852" spans="1:7" x14ac:dyDescent="0.35">
      <c r="A852" t="s">
        <v>2228</v>
      </c>
      <c r="B852" s="4" t="s">
        <v>709</v>
      </c>
      <c r="C852">
        <v>1</v>
      </c>
      <c r="D852" s="7">
        <v>1</v>
      </c>
      <c r="E852">
        <v>2</v>
      </c>
      <c r="F852" t="s">
        <v>1321</v>
      </c>
      <c r="G852" t="s">
        <v>54</v>
      </c>
    </row>
    <row r="853" spans="1:7" x14ac:dyDescent="0.35">
      <c r="A853" t="s">
        <v>2229</v>
      </c>
      <c r="B853" s="4" t="s">
        <v>709</v>
      </c>
      <c r="C853">
        <v>4</v>
      </c>
      <c r="D853" s="7">
        <v>14</v>
      </c>
      <c r="E853">
        <v>1</v>
      </c>
      <c r="F853" t="s">
        <v>1324</v>
      </c>
      <c r="G853" t="s">
        <v>46</v>
      </c>
    </row>
    <row r="854" spans="1:7" x14ac:dyDescent="0.35">
      <c r="A854" t="s">
        <v>2230</v>
      </c>
      <c r="B854" s="4" t="s">
        <v>709</v>
      </c>
      <c r="C854">
        <v>5</v>
      </c>
      <c r="D854" s="7">
        <v>15</v>
      </c>
      <c r="E854">
        <v>1</v>
      </c>
      <c r="F854" t="s">
        <v>1324</v>
      </c>
      <c r="G854" t="s">
        <v>46</v>
      </c>
    </row>
    <row r="855" spans="1:7" x14ac:dyDescent="0.35">
      <c r="A855" t="s">
        <v>2231</v>
      </c>
      <c r="B855" s="4" t="s">
        <v>709</v>
      </c>
      <c r="C855">
        <v>6</v>
      </c>
      <c r="D855" s="7">
        <v>15</v>
      </c>
      <c r="E855">
        <v>1</v>
      </c>
      <c r="F855" t="s">
        <v>1324</v>
      </c>
      <c r="G855" t="s">
        <v>46</v>
      </c>
    </row>
    <row r="856" spans="1:7" x14ac:dyDescent="0.35">
      <c r="A856" t="s">
        <v>2232</v>
      </c>
      <c r="B856" s="4" t="s">
        <v>709</v>
      </c>
      <c r="C856">
        <v>9</v>
      </c>
      <c r="D856" s="7">
        <v>14</v>
      </c>
      <c r="E856">
        <v>1</v>
      </c>
      <c r="F856" t="s">
        <v>1324</v>
      </c>
      <c r="G856" t="s">
        <v>46</v>
      </c>
    </row>
    <row r="857" spans="1:7" x14ac:dyDescent="0.35">
      <c r="A857" t="s">
        <v>2233</v>
      </c>
      <c r="B857" s="4" t="s">
        <v>716</v>
      </c>
      <c r="C857">
        <v>1</v>
      </c>
      <c r="D857" s="7">
        <v>2</v>
      </c>
      <c r="E857">
        <v>1</v>
      </c>
      <c r="F857" t="s">
        <v>1321</v>
      </c>
      <c r="G857" t="s">
        <v>46</v>
      </c>
    </row>
    <row r="858" spans="1:7" x14ac:dyDescent="0.35">
      <c r="A858" t="s">
        <v>2234</v>
      </c>
      <c r="B858" s="4" t="s">
        <v>716</v>
      </c>
      <c r="C858">
        <v>4</v>
      </c>
      <c r="D858" s="7">
        <v>15</v>
      </c>
      <c r="E858">
        <v>1</v>
      </c>
      <c r="F858" t="s">
        <v>1324</v>
      </c>
      <c r="G858" t="s">
        <v>46</v>
      </c>
    </row>
    <row r="859" spans="1:7" x14ac:dyDescent="0.35">
      <c r="A859" t="s">
        <v>2235</v>
      </c>
      <c r="B859" s="4" t="s">
        <v>716</v>
      </c>
      <c r="C859">
        <v>5</v>
      </c>
      <c r="D859" s="7">
        <v>12</v>
      </c>
      <c r="E859">
        <v>1</v>
      </c>
      <c r="F859" t="s">
        <v>1324</v>
      </c>
      <c r="G859" t="s">
        <v>46</v>
      </c>
    </row>
    <row r="860" spans="1:7" x14ac:dyDescent="0.35">
      <c r="A860" t="s">
        <v>2236</v>
      </c>
      <c r="B860" s="4" t="s">
        <v>716</v>
      </c>
      <c r="C860">
        <v>6</v>
      </c>
      <c r="D860" s="7">
        <v>8</v>
      </c>
      <c r="E860">
        <v>1</v>
      </c>
      <c r="F860" t="s">
        <v>1324</v>
      </c>
      <c r="G860" t="s">
        <v>46</v>
      </c>
    </row>
    <row r="861" spans="1:7" x14ac:dyDescent="0.35">
      <c r="A861" t="s">
        <v>2237</v>
      </c>
      <c r="B861" s="4" t="s">
        <v>716</v>
      </c>
      <c r="C861">
        <v>9</v>
      </c>
      <c r="D861" s="7">
        <v>11</v>
      </c>
      <c r="E861">
        <v>1</v>
      </c>
      <c r="F861" t="s">
        <v>1324</v>
      </c>
      <c r="G861" t="s">
        <v>46</v>
      </c>
    </row>
    <row r="862" spans="1:7" x14ac:dyDescent="0.35">
      <c r="A862" t="s">
        <v>2238</v>
      </c>
      <c r="B862" s="4" t="s">
        <v>721</v>
      </c>
      <c r="C862">
        <v>1</v>
      </c>
      <c r="D862" s="7">
        <v>2</v>
      </c>
      <c r="E862">
        <v>1</v>
      </c>
      <c r="F862" t="s">
        <v>1321</v>
      </c>
      <c r="G862" t="s">
        <v>46</v>
      </c>
    </row>
    <row r="863" spans="1:7" x14ac:dyDescent="0.35">
      <c r="A863" t="s">
        <v>2239</v>
      </c>
      <c r="B863" s="4" t="s">
        <v>721</v>
      </c>
      <c r="C863">
        <v>1</v>
      </c>
      <c r="D863" s="7">
        <v>2</v>
      </c>
      <c r="E863">
        <v>2</v>
      </c>
      <c r="F863" t="s">
        <v>1321</v>
      </c>
      <c r="G863" t="s">
        <v>54</v>
      </c>
    </row>
    <row r="864" spans="1:7" x14ac:dyDescent="0.35">
      <c r="A864" t="s">
        <v>2240</v>
      </c>
      <c r="B864" s="4" t="s">
        <v>721</v>
      </c>
      <c r="C864">
        <v>4</v>
      </c>
      <c r="D864" s="7">
        <v>10</v>
      </c>
      <c r="E864">
        <v>1</v>
      </c>
      <c r="F864" t="s">
        <v>1324</v>
      </c>
      <c r="G864" t="s">
        <v>46</v>
      </c>
    </row>
    <row r="865" spans="1:7" x14ac:dyDescent="0.35">
      <c r="A865" t="s">
        <v>2241</v>
      </c>
      <c r="B865" s="4" t="s">
        <v>721</v>
      </c>
      <c r="C865">
        <v>5</v>
      </c>
      <c r="D865" s="7">
        <v>12</v>
      </c>
      <c r="E865">
        <v>1</v>
      </c>
      <c r="F865" t="s">
        <v>1324</v>
      </c>
      <c r="G865" t="s">
        <v>46</v>
      </c>
    </row>
    <row r="866" spans="1:7" x14ac:dyDescent="0.35">
      <c r="A866" t="s">
        <v>2242</v>
      </c>
      <c r="B866" s="4" t="s">
        <v>721</v>
      </c>
      <c r="C866">
        <v>6</v>
      </c>
      <c r="D866" s="7">
        <v>12</v>
      </c>
      <c r="E866">
        <v>1</v>
      </c>
      <c r="F866" t="s">
        <v>1324</v>
      </c>
      <c r="G866" t="s">
        <v>46</v>
      </c>
    </row>
    <row r="867" spans="1:7" x14ac:dyDescent="0.35">
      <c r="A867" t="s">
        <v>2243</v>
      </c>
      <c r="B867" s="4" t="s">
        <v>721</v>
      </c>
      <c r="C867">
        <v>9</v>
      </c>
      <c r="D867" s="7">
        <v>13</v>
      </c>
      <c r="E867">
        <v>1</v>
      </c>
      <c r="F867" t="s">
        <v>1324</v>
      </c>
      <c r="G867" t="s">
        <v>46</v>
      </c>
    </row>
    <row r="868" spans="1:7" x14ac:dyDescent="0.35">
      <c r="A868" t="s">
        <v>2244</v>
      </c>
      <c r="B868" s="4" t="s">
        <v>725</v>
      </c>
      <c r="C868">
        <v>1</v>
      </c>
      <c r="D868" s="7">
        <v>5</v>
      </c>
      <c r="E868">
        <v>1</v>
      </c>
      <c r="F868" t="s">
        <v>1321</v>
      </c>
      <c r="G868" t="s">
        <v>46</v>
      </c>
    </row>
    <row r="869" spans="1:7" x14ac:dyDescent="0.35">
      <c r="A869" t="s">
        <v>2245</v>
      </c>
      <c r="B869" s="4" t="s">
        <v>725</v>
      </c>
      <c r="C869">
        <v>4</v>
      </c>
      <c r="D869" s="7">
        <v>14</v>
      </c>
      <c r="E869">
        <v>1</v>
      </c>
      <c r="F869" t="s">
        <v>1324</v>
      </c>
      <c r="G869" t="s">
        <v>46</v>
      </c>
    </row>
    <row r="870" spans="1:7" x14ac:dyDescent="0.35">
      <c r="A870" t="s">
        <v>2246</v>
      </c>
      <c r="B870" s="4" t="s">
        <v>725</v>
      </c>
      <c r="C870">
        <v>5</v>
      </c>
      <c r="D870" s="7">
        <v>11</v>
      </c>
      <c r="E870">
        <v>1</v>
      </c>
      <c r="F870" t="s">
        <v>1324</v>
      </c>
      <c r="G870" t="s">
        <v>46</v>
      </c>
    </row>
    <row r="871" spans="1:7" x14ac:dyDescent="0.35">
      <c r="A871" t="s">
        <v>2247</v>
      </c>
      <c r="B871" s="4" t="s">
        <v>725</v>
      </c>
      <c r="C871">
        <v>6</v>
      </c>
      <c r="D871" s="7">
        <v>13</v>
      </c>
      <c r="E871">
        <v>1</v>
      </c>
      <c r="F871" t="s">
        <v>1324</v>
      </c>
      <c r="G871" t="s">
        <v>46</v>
      </c>
    </row>
    <row r="872" spans="1:7" x14ac:dyDescent="0.35">
      <c r="A872" t="s">
        <v>2248</v>
      </c>
      <c r="B872" s="4" t="s">
        <v>725</v>
      </c>
      <c r="C872">
        <v>9</v>
      </c>
      <c r="D872" s="7">
        <v>9</v>
      </c>
      <c r="E872">
        <v>1</v>
      </c>
      <c r="F872" t="s">
        <v>1324</v>
      </c>
      <c r="G872" t="s">
        <v>46</v>
      </c>
    </row>
    <row r="873" spans="1:7" x14ac:dyDescent="0.35">
      <c r="A873" t="s">
        <v>2249</v>
      </c>
      <c r="B873" s="4" t="s">
        <v>730</v>
      </c>
      <c r="C873">
        <v>4</v>
      </c>
      <c r="D873" s="7">
        <v>4</v>
      </c>
      <c r="E873">
        <v>1</v>
      </c>
      <c r="F873" t="s">
        <v>1324</v>
      </c>
      <c r="G873" t="s">
        <v>46</v>
      </c>
    </row>
    <row r="874" spans="1:7" x14ac:dyDescent="0.35">
      <c r="A874" t="s">
        <v>2250</v>
      </c>
      <c r="B874" s="4" t="s">
        <v>730</v>
      </c>
      <c r="C874">
        <v>5</v>
      </c>
      <c r="D874" s="7">
        <v>6</v>
      </c>
      <c r="E874">
        <v>1</v>
      </c>
      <c r="F874" t="s">
        <v>1324</v>
      </c>
      <c r="G874" t="s">
        <v>46</v>
      </c>
    </row>
    <row r="875" spans="1:7" x14ac:dyDescent="0.35">
      <c r="A875" t="s">
        <v>2251</v>
      </c>
      <c r="B875" s="4" t="s">
        <v>730</v>
      </c>
      <c r="C875">
        <v>6</v>
      </c>
      <c r="D875" s="7">
        <v>7</v>
      </c>
      <c r="E875">
        <v>1</v>
      </c>
      <c r="F875" t="s">
        <v>1324</v>
      </c>
      <c r="G875" t="s">
        <v>46</v>
      </c>
    </row>
    <row r="876" spans="1:7" x14ac:dyDescent="0.35">
      <c r="A876" t="s">
        <v>2252</v>
      </c>
      <c r="B876" s="4" t="s">
        <v>730</v>
      </c>
      <c r="C876">
        <v>9</v>
      </c>
      <c r="D876" s="7">
        <v>7</v>
      </c>
      <c r="E876">
        <v>1</v>
      </c>
      <c r="F876" t="s">
        <v>1324</v>
      </c>
      <c r="G876" t="s">
        <v>46</v>
      </c>
    </row>
    <row r="877" spans="1:7" x14ac:dyDescent="0.35">
      <c r="A877" t="s">
        <v>2253</v>
      </c>
      <c r="B877" s="4" t="s">
        <v>733</v>
      </c>
      <c r="C877">
        <v>4</v>
      </c>
      <c r="D877" s="7">
        <v>4</v>
      </c>
      <c r="E877">
        <v>1</v>
      </c>
      <c r="F877" t="s">
        <v>1324</v>
      </c>
      <c r="G877" t="s">
        <v>46</v>
      </c>
    </row>
    <row r="878" spans="1:7" x14ac:dyDescent="0.35">
      <c r="A878" t="s">
        <v>2254</v>
      </c>
      <c r="B878" s="4" t="s">
        <v>733</v>
      </c>
      <c r="C878">
        <v>5</v>
      </c>
      <c r="D878" s="7">
        <v>6</v>
      </c>
      <c r="E878">
        <v>1</v>
      </c>
      <c r="F878" t="s">
        <v>1324</v>
      </c>
      <c r="G878" t="s">
        <v>46</v>
      </c>
    </row>
    <row r="879" spans="1:7" x14ac:dyDescent="0.35">
      <c r="A879" t="s">
        <v>2255</v>
      </c>
      <c r="B879" s="4" t="s">
        <v>733</v>
      </c>
      <c r="C879">
        <v>6</v>
      </c>
      <c r="D879" s="7">
        <v>5</v>
      </c>
      <c r="E879">
        <v>1</v>
      </c>
      <c r="F879" t="s">
        <v>1324</v>
      </c>
      <c r="G879" t="s">
        <v>46</v>
      </c>
    </row>
    <row r="880" spans="1:7" x14ac:dyDescent="0.35">
      <c r="A880" t="s">
        <v>2256</v>
      </c>
      <c r="B880" s="4" t="s">
        <v>733</v>
      </c>
      <c r="C880">
        <v>9</v>
      </c>
      <c r="D880" s="7">
        <v>7</v>
      </c>
      <c r="E880">
        <v>1</v>
      </c>
      <c r="F880" t="s">
        <v>1324</v>
      </c>
      <c r="G880" t="s">
        <v>46</v>
      </c>
    </row>
    <row r="881" spans="1:7" x14ac:dyDescent="0.35">
      <c r="A881" t="s">
        <v>2257</v>
      </c>
      <c r="B881" s="4" t="s">
        <v>736</v>
      </c>
      <c r="C881">
        <v>4</v>
      </c>
      <c r="D881" s="7">
        <v>9</v>
      </c>
      <c r="E881">
        <v>1</v>
      </c>
      <c r="F881" t="s">
        <v>1324</v>
      </c>
      <c r="G881" t="s">
        <v>46</v>
      </c>
    </row>
    <row r="882" spans="1:7" x14ac:dyDescent="0.35">
      <c r="A882" t="s">
        <v>2258</v>
      </c>
      <c r="B882" s="4" t="s">
        <v>736</v>
      </c>
      <c r="C882">
        <v>5</v>
      </c>
      <c r="D882" s="7">
        <v>11</v>
      </c>
      <c r="E882">
        <v>1</v>
      </c>
      <c r="F882" t="s">
        <v>1324</v>
      </c>
      <c r="G882" t="s">
        <v>46</v>
      </c>
    </row>
    <row r="883" spans="1:7" x14ac:dyDescent="0.35">
      <c r="A883" t="s">
        <v>2259</v>
      </c>
      <c r="B883" s="4" t="s">
        <v>736</v>
      </c>
      <c r="C883">
        <v>6</v>
      </c>
      <c r="D883" s="7">
        <v>14</v>
      </c>
      <c r="E883">
        <v>1</v>
      </c>
      <c r="F883" t="s">
        <v>1324</v>
      </c>
      <c r="G883" t="s">
        <v>46</v>
      </c>
    </row>
    <row r="884" spans="1:7" x14ac:dyDescent="0.35">
      <c r="A884" t="s">
        <v>2260</v>
      </c>
      <c r="B884" s="4" t="s">
        <v>736</v>
      </c>
      <c r="C884">
        <v>9</v>
      </c>
      <c r="D884" s="7">
        <v>14</v>
      </c>
      <c r="E884">
        <v>1</v>
      </c>
      <c r="F884" t="s">
        <v>1324</v>
      </c>
      <c r="G884" t="s">
        <v>46</v>
      </c>
    </row>
    <row r="885" spans="1:7" x14ac:dyDescent="0.35">
      <c r="A885" t="s">
        <v>2261</v>
      </c>
      <c r="B885" s="4" t="s">
        <v>2262</v>
      </c>
      <c r="C885">
        <v>4</v>
      </c>
      <c r="D885" s="7">
        <v>13</v>
      </c>
      <c r="E885">
        <v>1</v>
      </c>
      <c r="F885" t="s">
        <v>1324</v>
      </c>
      <c r="G885" t="s">
        <v>46</v>
      </c>
    </row>
    <row r="886" spans="1:7" x14ac:dyDescent="0.35">
      <c r="A886" t="s">
        <v>2263</v>
      </c>
      <c r="B886" s="4" t="s">
        <v>2262</v>
      </c>
      <c r="C886">
        <v>5</v>
      </c>
      <c r="D886" s="7">
        <v>11</v>
      </c>
      <c r="E886">
        <v>1</v>
      </c>
      <c r="F886" t="s">
        <v>1324</v>
      </c>
      <c r="G886" t="s">
        <v>46</v>
      </c>
    </row>
    <row r="887" spans="1:7" x14ac:dyDescent="0.35">
      <c r="A887" t="s">
        <v>2264</v>
      </c>
      <c r="B887" s="4" t="s">
        <v>2262</v>
      </c>
      <c r="C887">
        <v>6</v>
      </c>
      <c r="D887" s="7">
        <v>13</v>
      </c>
      <c r="E887">
        <v>1</v>
      </c>
      <c r="F887" t="s">
        <v>1324</v>
      </c>
      <c r="G887" t="s">
        <v>46</v>
      </c>
    </row>
    <row r="888" spans="1:7" x14ac:dyDescent="0.35">
      <c r="A888" t="s">
        <v>2265</v>
      </c>
      <c r="B888" s="4" t="s">
        <v>2262</v>
      </c>
      <c r="C888">
        <v>9</v>
      </c>
      <c r="D888" s="7">
        <v>10</v>
      </c>
      <c r="E888">
        <v>1</v>
      </c>
      <c r="F888" t="s">
        <v>1324</v>
      </c>
      <c r="G888" t="s">
        <v>46</v>
      </c>
    </row>
    <row r="889" spans="1:7" x14ac:dyDescent="0.35">
      <c r="A889" t="s">
        <v>2266</v>
      </c>
      <c r="B889" s="4" t="s">
        <v>2267</v>
      </c>
      <c r="C889">
        <v>1</v>
      </c>
      <c r="D889" s="7">
        <v>2</v>
      </c>
      <c r="E889">
        <v>1</v>
      </c>
      <c r="F889" t="s">
        <v>1321</v>
      </c>
      <c r="G889" t="s">
        <v>46</v>
      </c>
    </row>
    <row r="890" spans="1:7" x14ac:dyDescent="0.35">
      <c r="A890" t="s">
        <v>2268</v>
      </c>
      <c r="B890" s="4" t="s">
        <v>2267</v>
      </c>
      <c r="C890">
        <v>4</v>
      </c>
      <c r="D890" s="7">
        <v>13</v>
      </c>
      <c r="E890">
        <v>1</v>
      </c>
      <c r="F890" t="s">
        <v>1324</v>
      </c>
      <c r="G890" t="s">
        <v>46</v>
      </c>
    </row>
    <row r="891" spans="1:7" x14ac:dyDescent="0.35">
      <c r="A891" t="s">
        <v>2269</v>
      </c>
      <c r="B891" s="4" t="s">
        <v>2267</v>
      </c>
      <c r="C891">
        <v>5</v>
      </c>
      <c r="D891" s="7">
        <v>13</v>
      </c>
      <c r="E891">
        <v>1</v>
      </c>
      <c r="F891" t="s">
        <v>1324</v>
      </c>
      <c r="G891" t="s">
        <v>46</v>
      </c>
    </row>
    <row r="892" spans="1:7" x14ac:dyDescent="0.35">
      <c r="A892" t="s">
        <v>2270</v>
      </c>
      <c r="B892" s="4" t="s">
        <v>2267</v>
      </c>
      <c r="C892">
        <v>6</v>
      </c>
      <c r="D892" s="7">
        <v>10</v>
      </c>
      <c r="E892">
        <v>1</v>
      </c>
      <c r="F892" t="s">
        <v>1324</v>
      </c>
      <c r="G892" t="s">
        <v>46</v>
      </c>
    </row>
    <row r="893" spans="1:7" x14ac:dyDescent="0.35">
      <c r="A893" t="s">
        <v>2271</v>
      </c>
      <c r="B893" s="4" t="s">
        <v>2267</v>
      </c>
      <c r="C893">
        <v>9</v>
      </c>
      <c r="D893" s="7">
        <v>11</v>
      </c>
      <c r="E893">
        <v>1</v>
      </c>
      <c r="F893" t="s">
        <v>1324</v>
      </c>
      <c r="G893" t="s">
        <v>46</v>
      </c>
    </row>
    <row r="894" spans="1:7" x14ac:dyDescent="0.35">
      <c r="A894" t="s">
        <v>2272</v>
      </c>
      <c r="B894" s="4" t="s">
        <v>2273</v>
      </c>
      <c r="C894">
        <v>1</v>
      </c>
      <c r="D894" s="7">
        <v>4</v>
      </c>
      <c r="E894">
        <v>1</v>
      </c>
      <c r="F894" t="s">
        <v>1321</v>
      </c>
      <c r="G894" t="s">
        <v>46</v>
      </c>
    </row>
    <row r="895" spans="1:7" x14ac:dyDescent="0.35">
      <c r="A895" t="s">
        <v>2274</v>
      </c>
      <c r="B895" s="4" t="s">
        <v>2273</v>
      </c>
      <c r="C895">
        <v>1</v>
      </c>
      <c r="D895" s="7">
        <v>3</v>
      </c>
      <c r="E895">
        <v>2</v>
      </c>
      <c r="F895" t="s">
        <v>1321</v>
      </c>
      <c r="G895" t="s">
        <v>54</v>
      </c>
    </row>
    <row r="896" spans="1:7" x14ac:dyDescent="0.35">
      <c r="A896" t="s">
        <v>2275</v>
      </c>
      <c r="B896" s="4" t="s">
        <v>2273</v>
      </c>
      <c r="C896">
        <v>4</v>
      </c>
      <c r="D896" s="7">
        <v>9</v>
      </c>
      <c r="E896">
        <v>1</v>
      </c>
      <c r="F896" t="s">
        <v>1324</v>
      </c>
      <c r="G896" t="s">
        <v>46</v>
      </c>
    </row>
    <row r="897" spans="1:7" x14ac:dyDescent="0.35">
      <c r="A897" t="s">
        <v>2276</v>
      </c>
      <c r="B897" s="4" t="s">
        <v>2273</v>
      </c>
      <c r="C897">
        <v>5</v>
      </c>
      <c r="D897" s="7">
        <v>10</v>
      </c>
      <c r="E897">
        <v>1</v>
      </c>
      <c r="F897" t="s">
        <v>1324</v>
      </c>
      <c r="G897" t="s">
        <v>46</v>
      </c>
    </row>
    <row r="898" spans="1:7" x14ac:dyDescent="0.35">
      <c r="A898" t="s">
        <v>2277</v>
      </c>
      <c r="B898" s="4" t="s">
        <v>2273</v>
      </c>
      <c r="C898">
        <v>6</v>
      </c>
      <c r="D898" s="7">
        <v>15</v>
      </c>
      <c r="E898">
        <v>1</v>
      </c>
      <c r="F898" t="s">
        <v>1324</v>
      </c>
      <c r="G898" t="s">
        <v>46</v>
      </c>
    </row>
    <row r="899" spans="1:7" x14ac:dyDescent="0.35">
      <c r="A899" t="s">
        <v>2278</v>
      </c>
      <c r="B899" s="4" t="s">
        <v>2273</v>
      </c>
      <c r="C899">
        <v>9</v>
      </c>
      <c r="D899" s="7">
        <v>15</v>
      </c>
      <c r="E899">
        <v>1</v>
      </c>
      <c r="F899" t="s">
        <v>1324</v>
      </c>
      <c r="G899" t="s">
        <v>46</v>
      </c>
    </row>
    <row r="900" spans="1:7" x14ac:dyDescent="0.35">
      <c r="A900" t="s">
        <v>2279</v>
      </c>
      <c r="B900" s="4" t="s">
        <v>2280</v>
      </c>
      <c r="C900">
        <v>4</v>
      </c>
      <c r="D900" s="7">
        <v>13</v>
      </c>
      <c r="E900">
        <v>1</v>
      </c>
      <c r="F900" t="s">
        <v>1324</v>
      </c>
      <c r="G900" t="s">
        <v>46</v>
      </c>
    </row>
    <row r="901" spans="1:7" x14ac:dyDescent="0.35">
      <c r="A901" t="s">
        <v>2281</v>
      </c>
      <c r="B901" s="4" t="s">
        <v>2280</v>
      </c>
      <c r="C901">
        <v>5</v>
      </c>
      <c r="D901" s="7">
        <v>13</v>
      </c>
      <c r="E901">
        <v>1</v>
      </c>
      <c r="F901" t="s">
        <v>1324</v>
      </c>
      <c r="G901" t="s">
        <v>46</v>
      </c>
    </row>
    <row r="902" spans="1:7" x14ac:dyDescent="0.35">
      <c r="A902" t="s">
        <v>2282</v>
      </c>
      <c r="B902" s="4" t="s">
        <v>2280</v>
      </c>
      <c r="C902">
        <v>6</v>
      </c>
      <c r="D902" s="7">
        <v>10</v>
      </c>
      <c r="E902">
        <v>1</v>
      </c>
      <c r="F902" t="s">
        <v>1324</v>
      </c>
      <c r="G902" t="s">
        <v>46</v>
      </c>
    </row>
    <row r="903" spans="1:7" x14ac:dyDescent="0.35">
      <c r="A903" t="s">
        <v>2283</v>
      </c>
      <c r="B903" s="4" t="s">
        <v>2280</v>
      </c>
      <c r="C903">
        <v>9</v>
      </c>
      <c r="D903" s="7">
        <v>15</v>
      </c>
      <c r="E903">
        <v>1</v>
      </c>
      <c r="F903" t="s">
        <v>1324</v>
      </c>
      <c r="G903" t="s">
        <v>46</v>
      </c>
    </row>
    <row r="904" spans="1:7" x14ac:dyDescent="0.35">
      <c r="A904" t="s">
        <v>2284</v>
      </c>
      <c r="B904" s="4" t="s">
        <v>2285</v>
      </c>
      <c r="C904">
        <v>1</v>
      </c>
      <c r="D904" s="7">
        <v>2</v>
      </c>
      <c r="E904">
        <v>1</v>
      </c>
      <c r="F904" t="s">
        <v>1321</v>
      </c>
      <c r="G904" t="s">
        <v>46</v>
      </c>
    </row>
    <row r="905" spans="1:7" x14ac:dyDescent="0.35">
      <c r="A905" t="s">
        <v>2286</v>
      </c>
      <c r="B905" s="4" t="s">
        <v>2285</v>
      </c>
      <c r="C905">
        <v>4</v>
      </c>
      <c r="D905" s="7">
        <v>4</v>
      </c>
      <c r="E905">
        <v>1</v>
      </c>
      <c r="F905" t="s">
        <v>1324</v>
      </c>
      <c r="G905" t="s">
        <v>46</v>
      </c>
    </row>
    <row r="906" spans="1:7" x14ac:dyDescent="0.35">
      <c r="A906" t="s">
        <v>2287</v>
      </c>
      <c r="B906" s="4" t="s">
        <v>2285</v>
      </c>
      <c r="C906">
        <v>5</v>
      </c>
      <c r="D906" s="7">
        <v>6</v>
      </c>
      <c r="E906">
        <v>1</v>
      </c>
      <c r="F906" t="s">
        <v>1324</v>
      </c>
      <c r="G906" t="s">
        <v>46</v>
      </c>
    </row>
    <row r="907" spans="1:7" x14ac:dyDescent="0.35">
      <c r="A907" t="s">
        <v>2288</v>
      </c>
      <c r="B907" s="4" t="s">
        <v>2285</v>
      </c>
      <c r="C907">
        <v>6</v>
      </c>
      <c r="D907" s="7">
        <v>4</v>
      </c>
      <c r="E907">
        <v>1</v>
      </c>
      <c r="F907" t="s">
        <v>1324</v>
      </c>
      <c r="G907" t="s">
        <v>46</v>
      </c>
    </row>
    <row r="908" spans="1:7" x14ac:dyDescent="0.35">
      <c r="A908" t="s">
        <v>2289</v>
      </c>
      <c r="B908" s="4" t="s">
        <v>2285</v>
      </c>
      <c r="C908">
        <v>9</v>
      </c>
      <c r="D908" s="7">
        <v>6</v>
      </c>
      <c r="E908">
        <v>1</v>
      </c>
      <c r="F908" t="s">
        <v>1324</v>
      </c>
      <c r="G908" t="s">
        <v>46</v>
      </c>
    </row>
    <row r="909" spans="1:7" x14ac:dyDescent="0.35">
      <c r="A909" t="s">
        <v>2290</v>
      </c>
      <c r="B909" s="4" t="s">
        <v>2291</v>
      </c>
      <c r="C909">
        <v>4</v>
      </c>
      <c r="D909" s="7">
        <v>4</v>
      </c>
      <c r="E909">
        <v>1</v>
      </c>
      <c r="F909" t="s">
        <v>1324</v>
      </c>
      <c r="G909" t="s">
        <v>46</v>
      </c>
    </row>
    <row r="910" spans="1:7" x14ac:dyDescent="0.35">
      <c r="A910" t="s">
        <v>2292</v>
      </c>
      <c r="B910" s="4" t="s">
        <v>2291</v>
      </c>
      <c r="C910">
        <v>5</v>
      </c>
      <c r="D910" s="7">
        <v>4</v>
      </c>
      <c r="E910">
        <v>1</v>
      </c>
      <c r="F910" t="s">
        <v>1324</v>
      </c>
      <c r="G910" t="s">
        <v>46</v>
      </c>
    </row>
    <row r="911" spans="1:7" x14ac:dyDescent="0.35">
      <c r="A911" t="s">
        <v>2293</v>
      </c>
      <c r="B911" s="4" t="s">
        <v>2291</v>
      </c>
      <c r="C911">
        <v>6</v>
      </c>
      <c r="D911" s="7">
        <v>7</v>
      </c>
      <c r="E911">
        <v>1</v>
      </c>
      <c r="F911" t="s">
        <v>1324</v>
      </c>
      <c r="G911" t="s">
        <v>46</v>
      </c>
    </row>
    <row r="912" spans="1:7" x14ac:dyDescent="0.35">
      <c r="A912" t="s">
        <v>2294</v>
      </c>
      <c r="B912" s="4" t="s">
        <v>2291</v>
      </c>
      <c r="C912">
        <v>9</v>
      </c>
      <c r="D912" s="7">
        <v>7</v>
      </c>
      <c r="E912">
        <v>1</v>
      </c>
      <c r="F912" t="s">
        <v>1324</v>
      </c>
      <c r="G912" t="s">
        <v>46</v>
      </c>
    </row>
    <row r="913" spans="1:7" x14ac:dyDescent="0.35">
      <c r="A913" t="s">
        <v>2295</v>
      </c>
      <c r="B913" s="4" t="s">
        <v>2296</v>
      </c>
      <c r="C913">
        <v>4</v>
      </c>
      <c r="D913" s="7">
        <v>8</v>
      </c>
      <c r="E913">
        <v>1</v>
      </c>
      <c r="F913" t="s">
        <v>1324</v>
      </c>
      <c r="G913" t="s">
        <v>46</v>
      </c>
    </row>
    <row r="914" spans="1:7" x14ac:dyDescent="0.35">
      <c r="A914" t="s">
        <v>2297</v>
      </c>
      <c r="B914" s="4" t="s">
        <v>2296</v>
      </c>
      <c r="C914">
        <v>5</v>
      </c>
      <c r="D914" s="7">
        <v>15</v>
      </c>
      <c r="E914">
        <v>1</v>
      </c>
      <c r="F914" t="s">
        <v>1324</v>
      </c>
      <c r="G914" t="s">
        <v>46</v>
      </c>
    </row>
    <row r="915" spans="1:7" x14ac:dyDescent="0.35">
      <c r="A915" t="s">
        <v>2298</v>
      </c>
      <c r="B915" s="4" t="s">
        <v>2296</v>
      </c>
      <c r="C915">
        <v>6</v>
      </c>
      <c r="D915" s="7">
        <v>11</v>
      </c>
      <c r="E915">
        <v>1</v>
      </c>
      <c r="F915" t="s">
        <v>1324</v>
      </c>
      <c r="G915" t="s">
        <v>46</v>
      </c>
    </row>
    <row r="916" spans="1:7" x14ac:dyDescent="0.35">
      <c r="A916" t="s">
        <v>2299</v>
      </c>
      <c r="B916" s="4" t="s">
        <v>2296</v>
      </c>
      <c r="C916">
        <v>9</v>
      </c>
      <c r="D916" s="7">
        <v>13</v>
      </c>
      <c r="E916">
        <v>1</v>
      </c>
      <c r="F916" t="s">
        <v>1324</v>
      </c>
      <c r="G916" t="s">
        <v>46</v>
      </c>
    </row>
    <row r="917" spans="1:7" x14ac:dyDescent="0.35">
      <c r="A917" t="s">
        <v>2300</v>
      </c>
      <c r="B917" s="4" t="s">
        <v>738</v>
      </c>
      <c r="C917">
        <v>4</v>
      </c>
      <c r="D917" s="7">
        <v>15</v>
      </c>
      <c r="E917">
        <v>1</v>
      </c>
      <c r="F917" t="s">
        <v>1324</v>
      </c>
      <c r="G917" t="s">
        <v>46</v>
      </c>
    </row>
    <row r="918" spans="1:7" x14ac:dyDescent="0.35">
      <c r="A918" t="s">
        <v>2301</v>
      </c>
      <c r="B918" s="4" t="s">
        <v>738</v>
      </c>
      <c r="C918">
        <v>5</v>
      </c>
      <c r="D918" s="7">
        <v>9</v>
      </c>
      <c r="E918">
        <v>1</v>
      </c>
      <c r="F918" t="s">
        <v>1324</v>
      </c>
      <c r="G918" t="s">
        <v>46</v>
      </c>
    </row>
    <row r="919" spans="1:7" x14ac:dyDescent="0.35">
      <c r="A919" t="s">
        <v>2302</v>
      </c>
      <c r="B919" s="4" t="s">
        <v>738</v>
      </c>
      <c r="C919">
        <v>6</v>
      </c>
      <c r="D919" s="7">
        <v>13</v>
      </c>
      <c r="E919">
        <v>1</v>
      </c>
      <c r="F919" t="s">
        <v>1324</v>
      </c>
      <c r="G919" t="s">
        <v>46</v>
      </c>
    </row>
    <row r="920" spans="1:7" x14ac:dyDescent="0.35">
      <c r="A920" t="s">
        <v>2303</v>
      </c>
      <c r="B920" s="4" t="s">
        <v>738</v>
      </c>
      <c r="C920">
        <v>9</v>
      </c>
      <c r="D920" s="7">
        <v>9</v>
      </c>
      <c r="E920">
        <v>1</v>
      </c>
      <c r="F920" t="s">
        <v>1324</v>
      </c>
      <c r="G920" t="s">
        <v>46</v>
      </c>
    </row>
    <row r="921" spans="1:7" x14ac:dyDescent="0.35">
      <c r="A921" t="s">
        <v>2304</v>
      </c>
      <c r="B921" s="4" t="s">
        <v>746</v>
      </c>
      <c r="C921">
        <v>1</v>
      </c>
      <c r="D921" s="7">
        <v>1</v>
      </c>
      <c r="E921">
        <v>2</v>
      </c>
      <c r="F921" t="s">
        <v>1321</v>
      </c>
      <c r="G921" t="s">
        <v>54</v>
      </c>
    </row>
    <row r="922" spans="1:7" x14ac:dyDescent="0.35">
      <c r="A922" t="s">
        <v>2305</v>
      </c>
      <c r="B922" s="4" t="s">
        <v>746</v>
      </c>
      <c r="C922">
        <v>4</v>
      </c>
      <c r="D922" s="7">
        <v>15</v>
      </c>
      <c r="E922">
        <v>1</v>
      </c>
      <c r="F922" t="s">
        <v>1324</v>
      </c>
      <c r="G922" t="s">
        <v>46</v>
      </c>
    </row>
    <row r="923" spans="1:7" x14ac:dyDescent="0.35">
      <c r="A923" t="s">
        <v>2306</v>
      </c>
      <c r="B923" s="4" t="s">
        <v>746</v>
      </c>
      <c r="C923">
        <v>5</v>
      </c>
      <c r="D923" s="7">
        <v>10</v>
      </c>
      <c r="E923">
        <v>1</v>
      </c>
      <c r="F923" t="s">
        <v>1324</v>
      </c>
      <c r="G923" t="s">
        <v>46</v>
      </c>
    </row>
    <row r="924" spans="1:7" x14ac:dyDescent="0.35">
      <c r="A924" t="s">
        <v>2307</v>
      </c>
      <c r="B924" s="4" t="s">
        <v>746</v>
      </c>
      <c r="C924">
        <v>6</v>
      </c>
      <c r="D924" s="7">
        <v>13</v>
      </c>
      <c r="E924">
        <v>1</v>
      </c>
      <c r="F924" t="s">
        <v>1324</v>
      </c>
      <c r="G924" t="s">
        <v>46</v>
      </c>
    </row>
    <row r="925" spans="1:7" x14ac:dyDescent="0.35">
      <c r="A925" t="s">
        <v>2308</v>
      </c>
      <c r="B925" s="4" t="s">
        <v>746</v>
      </c>
      <c r="C925">
        <v>9</v>
      </c>
      <c r="D925" s="7">
        <v>13</v>
      </c>
      <c r="E925">
        <v>1</v>
      </c>
      <c r="F925" t="s">
        <v>1324</v>
      </c>
      <c r="G925" t="s">
        <v>46</v>
      </c>
    </row>
    <row r="926" spans="1:7" x14ac:dyDescent="0.35">
      <c r="A926" t="s">
        <v>2309</v>
      </c>
      <c r="B926" s="4" t="s">
        <v>749</v>
      </c>
      <c r="C926">
        <v>4</v>
      </c>
      <c r="D926" s="7">
        <v>8</v>
      </c>
      <c r="E926">
        <v>1</v>
      </c>
      <c r="F926" t="s">
        <v>1324</v>
      </c>
      <c r="G926" t="s">
        <v>46</v>
      </c>
    </row>
    <row r="927" spans="1:7" x14ac:dyDescent="0.35">
      <c r="A927" t="s">
        <v>2310</v>
      </c>
      <c r="B927" s="4" t="s">
        <v>749</v>
      </c>
      <c r="C927">
        <v>5</v>
      </c>
      <c r="D927" s="7">
        <v>13</v>
      </c>
      <c r="E927">
        <v>1</v>
      </c>
      <c r="F927" t="s">
        <v>1324</v>
      </c>
      <c r="G927" t="s">
        <v>46</v>
      </c>
    </row>
    <row r="928" spans="1:7" x14ac:dyDescent="0.35">
      <c r="A928" t="s">
        <v>2311</v>
      </c>
      <c r="B928" s="4" t="s">
        <v>749</v>
      </c>
      <c r="C928">
        <v>6</v>
      </c>
      <c r="D928" s="7">
        <v>9</v>
      </c>
      <c r="E928">
        <v>1</v>
      </c>
      <c r="F928" t="s">
        <v>1324</v>
      </c>
      <c r="G928" t="s">
        <v>46</v>
      </c>
    </row>
    <row r="929" spans="1:7" x14ac:dyDescent="0.35">
      <c r="A929" t="s">
        <v>2312</v>
      </c>
      <c r="B929" s="4" t="s">
        <v>749</v>
      </c>
      <c r="C929">
        <v>9</v>
      </c>
      <c r="D929" s="7">
        <v>13</v>
      </c>
      <c r="E929">
        <v>1</v>
      </c>
      <c r="F929" t="s">
        <v>1324</v>
      </c>
      <c r="G929" t="s">
        <v>46</v>
      </c>
    </row>
    <row r="930" spans="1:7" x14ac:dyDescent="0.35">
      <c r="A930" t="s">
        <v>2313</v>
      </c>
      <c r="B930" s="4" t="s">
        <v>753</v>
      </c>
      <c r="C930">
        <v>1</v>
      </c>
      <c r="D930" s="7">
        <v>5</v>
      </c>
      <c r="E930">
        <v>1</v>
      </c>
      <c r="F930" t="s">
        <v>1321</v>
      </c>
      <c r="G930" t="s">
        <v>46</v>
      </c>
    </row>
    <row r="931" spans="1:7" x14ac:dyDescent="0.35">
      <c r="A931" t="s">
        <v>2314</v>
      </c>
      <c r="B931" s="4" t="s">
        <v>753</v>
      </c>
      <c r="C931">
        <v>1</v>
      </c>
      <c r="D931" s="7">
        <v>3</v>
      </c>
      <c r="E931">
        <v>2</v>
      </c>
      <c r="F931" t="s">
        <v>1321</v>
      </c>
      <c r="G931" t="s">
        <v>54</v>
      </c>
    </row>
    <row r="932" spans="1:7" x14ac:dyDescent="0.35">
      <c r="A932" t="s">
        <v>2315</v>
      </c>
      <c r="B932" s="4" t="s">
        <v>753</v>
      </c>
      <c r="C932">
        <v>4</v>
      </c>
      <c r="D932" s="7">
        <v>10</v>
      </c>
      <c r="E932">
        <v>1</v>
      </c>
      <c r="F932" t="s">
        <v>1324</v>
      </c>
      <c r="G932" t="s">
        <v>46</v>
      </c>
    </row>
    <row r="933" spans="1:7" x14ac:dyDescent="0.35">
      <c r="A933" t="s">
        <v>2316</v>
      </c>
      <c r="B933" s="4" t="s">
        <v>753</v>
      </c>
      <c r="C933">
        <v>5</v>
      </c>
      <c r="D933" s="7">
        <v>13</v>
      </c>
      <c r="E933">
        <v>1</v>
      </c>
      <c r="F933" t="s">
        <v>1324</v>
      </c>
      <c r="G933" t="s">
        <v>46</v>
      </c>
    </row>
    <row r="934" spans="1:7" x14ac:dyDescent="0.35">
      <c r="A934" t="s">
        <v>2317</v>
      </c>
      <c r="B934" s="4" t="s">
        <v>753</v>
      </c>
      <c r="C934">
        <v>6</v>
      </c>
      <c r="D934" s="7">
        <v>9</v>
      </c>
      <c r="E934">
        <v>1</v>
      </c>
      <c r="F934" t="s">
        <v>1324</v>
      </c>
      <c r="G934" t="s">
        <v>46</v>
      </c>
    </row>
    <row r="935" spans="1:7" x14ac:dyDescent="0.35">
      <c r="A935" t="s">
        <v>2318</v>
      </c>
      <c r="B935" s="4" t="s">
        <v>753</v>
      </c>
      <c r="C935">
        <v>9</v>
      </c>
      <c r="D935" s="7">
        <v>10</v>
      </c>
      <c r="E935">
        <v>1</v>
      </c>
      <c r="F935" t="s">
        <v>1324</v>
      </c>
      <c r="G935" t="s">
        <v>46</v>
      </c>
    </row>
    <row r="936" spans="1:7" x14ac:dyDescent="0.35">
      <c r="A936" t="s">
        <v>2319</v>
      </c>
      <c r="B936" s="4" t="s">
        <v>760</v>
      </c>
      <c r="C936">
        <v>4</v>
      </c>
      <c r="D936" s="7">
        <v>7</v>
      </c>
      <c r="E936">
        <v>1</v>
      </c>
      <c r="F936" t="s">
        <v>1324</v>
      </c>
      <c r="G936" t="s">
        <v>46</v>
      </c>
    </row>
    <row r="937" spans="1:7" x14ac:dyDescent="0.35">
      <c r="A937" t="s">
        <v>2320</v>
      </c>
      <c r="B937" s="4" t="s">
        <v>760</v>
      </c>
      <c r="C937">
        <v>5</v>
      </c>
      <c r="D937" s="7">
        <v>5</v>
      </c>
      <c r="E937">
        <v>1</v>
      </c>
      <c r="F937" t="s">
        <v>1324</v>
      </c>
      <c r="G937" t="s">
        <v>46</v>
      </c>
    </row>
    <row r="938" spans="1:7" x14ac:dyDescent="0.35">
      <c r="A938" t="s">
        <v>2321</v>
      </c>
      <c r="B938" s="4" t="s">
        <v>760</v>
      </c>
      <c r="C938">
        <v>6</v>
      </c>
      <c r="D938" s="7">
        <v>4</v>
      </c>
      <c r="E938">
        <v>1</v>
      </c>
      <c r="F938" t="s">
        <v>1324</v>
      </c>
      <c r="G938" t="s">
        <v>46</v>
      </c>
    </row>
    <row r="939" spans="1:7" x14ac:dyDescent="0.35">
      <c r="A939" t="s">
        <v>2322</v>
      </c>
      <c r="B939" s="4" t="s">
        <v>760</v>
      </c>
      <c r="C939">
        <v>9</v>
      </c>
      <c r="D939" s="7">
        <v>6</v>
      </c>
      <c r="E939">
        <v>1</v>
      </c>
      <c r="F939" t="s">
        <v>1324</v>
      </c>
      <c r="G939" t="s">
        <v>46</v>
      </c>
    </row>
    <row r="940" spans="1:7" x14ac:dyDescent="0.35">
      <c r="A940" t="s">
        <v>2323</v>
      </c>
      <c r="B940" s="4" t="s">
        <v>764</v>
      </c>
      <c r="C940">
        <v>4</v>
      </c>
      <c r="D940" s="7">
        <v>5</v>
      </c>
      <c r="E940">
        <v>1</v>
      </c>
      <c r="F940" t="s">
        <v>1324</v>
      </c>
      <c r="G940" t="s">
        <v>46</v>
      </c>
    </row>
    <row r="941" spans="1:7" x14ac:dyDescent="0.35">
      <c r="A941" t="s">
        <v>2324</v>
      </c>
      <c r="B941" s="4" t="s">
        <v>764</v>
      </c>
      <c r="C941">
        <v>5</v>
      </c>
      <c r="D941" s="7">
        <v>4</v>
      </c>
      <c r="E941">
        <v>1</v>
      </c>
      <c r="F941" t="s">
        <v>1324</v>
      </c>
      <c r="G941" t="s">
        <v>46</v>
      </c>
    </row>
    <row r="942" spans="1:7" x14ac:dyDescent="0.35">
      <c r="A942" t="s">
        <v>2325</v>
      </c>
      <c r="B942" s="4" t="s">
        <v>764</v>
      </c>
      <c r="C942">
        <v>6</v>
      </c>
      <c r="D942" s="7">
        <v>7</v>
      </c>
      <c r="E942">
        <v>1</v>
      </c>
      <c r="F942" t="s">
        <v>1324</v>
      </c>
      <c r="G942" t="s">
        <v>46</v>
      </c>
    </row>
    <row r="943" spans="1:7" x14ac:dyDescent="0.35">
      <c r="A943" t="s">
        <v>2326</v>
      </c>
      <c r="B943" s="4" t="s">
        <v>764</v>
      </c>
      <c r="C943">
        <v>9</v>
      </c>
      <c r="D943" s="7">
        <v>6</v>
      </c>
      <c r="E943">
        <v>1</v>
      </c>
      <c r="F943" t="s">
        <v>1324</v>
      </c>
      <c r="G943" t="s">
        <v>46</v>
      </c>
    </row>
    <row r="944" spans="1:7" x14ac:dyDescent="0.35">
      <c r="A944" t="s">
        <v>2327</v>
      </c>
      <c r="B944" s="4" t="s">
        <v>2328</v>
      </c>
      <c r="C944">
        <v>1</v>
      </c>
      <c r="D944" s="7">
        <v>4</v>
      </c>
      <c r="E944">
        <v>1</v>
      </c>
      <c r="F944" t="s">
        <v>1321</v>
      </c>
      <c r="G944" t="s">
        <v>46</v>
      </c>
    </row>
    <row r="945" spans="1:7" x14ac:dyDescent="0.35">
      <c r="A945" t="s">
        <v>2329</v>
      </c>
      <c r="B945" s="4" t="s">
        <v>2328</v>
      </c>
      <c r="C945">
        <v>1</v>
      </c>
      <c r="D945" s="7">
        <v>1</v>
      </c>
      <c r="E945">
        <v>2</v>
      </c>
      <c r="F945" t="s">
        <v>1321</v>
      </c>
      <c r="G945" t="s">
        <v>54</v>
      </c>
    </row>
    <row r="946" spans="1:7" x14ac:dyDescent="0.35">
      <c r="A946" t="s">
        <v>2330</v>
      </c>
      <c r="B946" s="4" t="s">
        <v>2328</v>
      </c>
      <c r="C946">
        <v>4</v>
      </c>
      <c r="D946" s="7">
        <v>15</v>
      </c>
      <c r="E946">
        <v>1</v>
      </c>
      <c r="F946" t="s">
        <v>1324</v>
      </c>
      <c r="G946" t="s">
        <v>46</v>
      </c>
    </row>
    <row r="947" spans="1:7" x14ac:dyDescent="0.35">
      <c r="A947" t="s">
        <v>2331</v>
      </c>
      <c r="B947" s="4" t="s">
        <v>2328</v>
      </c>
      <c r="C947">
        <v>5</v>
      </c>
      <c r="D947" s="7">
        <v>11</v>
      </c>
      <c r="E947">
        <v>1</v>
      </c>
      <c r="F947" t="s">
        <v>1324</v>
      </c>
      <c r="G947" t="s">
        <v>46</v>
      </c>
    </row>
    <row r="948" spans="1:7" x14ac:dyDescent="0.35">
      <c r="A948" t="s">
        <v>2332</v>
      </c>
      <c r="B948" s="4" t="s">
        <v>2328</v>
      </c>
      <c r="C948">
        <v>6</v>
      </c>
      <c r="D948" s="7">
        <v>11</v>
      </c>
      <c r="E948">
        <v>1</v>
      </c>
      <c r="F948" t="s">
        <v>1324</v>
      </c>
      <c r="G948" t="s">
        <v>46</v>
      </c>
    </row>
    <row r="949" spans="1:7" x14ac:dyDescent="0.35">
      <c r="A949" t="s">
        <v>2333</v>
      </c>
      <c r="B949" s="4" t="s">
        <v>2328</v>
      </c>
      <c r="C949">
        <v>9</v>
      </c>
      <c r="D949" s="7">
        <v>10</v>
      </c>
      <c r="E949">
        <v>1</v>
      </c>
      <c r="F949" t="s">
        <v>1324</v>
      </c>
      <c r="G949" t="s">
        <v>46</v>
      </c>
    </row>
    <row r="950" spans="1:7" x14ac:dyDescent="0.35">
      <c r="A950" t="s">
        <v>2334</v>
      </c>
      <c r="B950" s="4" t="s">
        <v>766</v>
      </c>
      <c r="C950">
        <v>1</v>
      </c>
      <c r="D950" s="7">
        <v>4</v>
      </c>
      <c r="E950">
        <v>1</v>
      </c>
      <c r="F950" t="s">
        <v>1321</v>
      </c>
      <c r="G950" t="s">
        <v>46</v>
      </c>
    </row>
    <row r="951" spans="1:7" x14ac:dyDescent="0.35">
      <c r="A951" t="s">
        <v>2335</v>
      </c>
      <c r="B951" s="4" t="s">
        <v>766</v>
      </c>
      <c r="C951">
        <v>4</v>
      </c>
      <c r="D951" s="7">
        <v>8</v>
      </c>
      <c r="E951">
        <v>1</v>
      </c>
      <c r="F951" t="s">
        <v>1324</v>
      </c>
      <c r="G951" t="s">
        <v>46</v>
      </c>
    </row>
    <row r="952" spans="1:7" x14ac:dyDescent="0.35">
      <c r="A952" t="s">
        <v>2336</v>
      </c>
      <c r="B952" s="4" t="s">
        <v>766</v>
      </c>
      <c r="C952">
        <v>5</v>
      </c>
      <c r="D952" s="7">
        <v>13</v>
      </c>
      <c r="E952">
        <v>1</v>
      </c>
      <c r="F952" t="s">
        <v>1324</v>
      </c>
      <c r="G952" t="s">
        <v>46</v>
      </c>
    </row>
    <row r="953" spans="1:7" x14ac:dyDescent="0.35">
      <c r="A953" t="s">
        <v>2337</v>
      </c>
      <c r="B953" s="4" t="s">
        <v>766</v>
      </c>
      <c r="C953">
        <v>6</v>
      </c>
      <c r="D953" s="7">
        <v>10</v>
      </c>
      <c r="E953">
        <v>1</v>
      </c>
      <c r="F953" t="s">
        <v>1324</v>
      </c>
      <c r="G953" t="s">
        <v>46</v>
      </c>
    </row>
    <row r="954" spans="1:7" x14ac:dyDescent="0.35">
      <c r="A954" t="s">
        <v>2338</v>
      </c>
      <c r="B954" s="4" t="s">
        <v>766</v>
      </c>
      <c r="C954">
        <v>9</v>
      </c>
      <c r="D954" s="7">
        <v>14</v>
      </c>
      <c r="E954">
        <v>1</v>
      </c>
      <c r="F954" t="s">
        <v>1324</v>
      </c>
      <c r="G954" t="s">
        <v>46</v>
      </c>
    </row>
    <row r="955" spans="1:7" x14ac:dyDescent="0.35">
      <c r="A955" t="s">
        <v>2339</v>
      </c>
      <c r="B955" s="4" t="s">
        <v>2340</v>
      </c>
      <c r="C955">
        <v>1</v>
      </c>
      <c r="D955" s="7">
        <v>3</v>
      </c>
      <c r="E955">
        <v>1</v>
      </c>
      <c r="F955" t="s">
        <v>1321</v>
      </c>
      <c r="G955" t="s">
        <v>46</v>
      </c>
    </row>
    <row r="956" spans="1:7" x14ac:dyDescent="0.35">
      <c r="A956" t="s">
        <v>2341</v>
      </c>
      <c r="B956" s="4" t="s">
        <v>2340</v>
      </c>
      <c r="C956">
        <v>4</v>
      </c>
      <c r="D956" s="7">
        <v>10</v>
      </c>
      <c r="E956">
        <v>1</v>
      </c>
      <c r="F956" t="s">
        <v>1324</v>
      </c>
      <c r="G956" t="s">
        <v>46</v>
      </c>
    </row>
    <row r="957" spans="1:7" x14ac:dyDescent="0.35">
      <c r="A957" t="s">
        <v>2342</v>
      </c>
      <c r="B957" s="4" t="s">
        <v>2340</v>
      </c>
      <c r="C957">
        <v>5</v>
      </c>
      <c r="D957" s="7">
        <v>15</v>
      </c>
      <c r="E957">
        <v>1</v>
      </c>
      <c r="F957" t="s">
        <v>1324</v>
      </c>
      <c r="G957" t="s">
        <v>46</v>
      </c>
    </row>
    <row r="958" spans="1:7" x14ac:dyDescent="0.35">
      <c r="A958" t="s">
        <v>2343</v>
      </c>
      <c r="B958" s="4" t="s">
        <v>2340</v>
      </c>
      <c r="C958">
        <v>6</v>
      </c>
      <c r="D958" s="7">
        <v>8</v>
      </c>
      <c r="E958">
        <v>1</v>
      </c>
      <c r="F958" t="s">
        <v>1324</v>
      </c>
      <c r="G958" t="s">
        <v>46</v>
      </c>
    </row>
    <row r="959" spans="1:7" x14ac:dyDescent="0.35">
      <c r="A959" t="s">
        <v>2344</v>
      </c>
      <c r="B959" s="4" t="s">
        <v>2340</v>
      </c>
      <c r="C959">
        <v>9</v>
      </c>
      <c r="D959" s="7">
        <v>14</v>
      </c>
      <c r="E959">
        <v>1</v>
      </c>
      <c r="F959" t="s">
        <v>1324</v>
      </c>
      <c r="G959" t="s">
        <v>46</v>
      </c>
    </row>
    <row r="960" spans="1:7" x14ac:dyDescent="0.35">
      <c r="A960" t="s">
        <v>2345</v>
      </c>
      <c r="B960" s="4" t="s">
        <v>2346</v>
      </c>
      <c r="C960">
        <v>1</v>
      </c>
      <c r="D960" s="7">
        <v>3</v>
      </c>
      <c r="E960">
        <v>1</v>
      </c>
      <c r="F960" t="s">
        <v>1321</v>
      </c>
      <c r="G960" t="s">
        <v>46</v>
      </c>
    </row>
    <row r="961" spans="1:7" x14ac:dyDescent="0.35">
      <c r="A961" t="s">
        <v>2347</v>
      </c>
      <c r="B961" s="4" t="s">
        <v>2346</v>
      </c>
      <c r="C961">
        <v>4</v>
      </c>
      <c r="D961" s="7">
        <v>15</v>
      </c>
      <c r="E961">
        <v>1</v>
      </c>
      <c r="F961" t="s">
        <v>1324</v>
      </c>
      <c r="G961" t="s">
        <v>46</v>
      </c>
    </row>
    <row r="962" spans="1:7" x14ac:dyDescent="0.35">
      <c r="A962" t="s">
        <v>2348</v>
      </c>
      <c r="B962" s="4" t="s">
        <v>2346</v>
      </c>
      <c r="C962">
        <v>5</v>
      </c>
      <c r="D962" s="7">
        <v>11</v>
      </c>
      <c r="E962">
        <v>1</v>
      </c>
      <c r="F962" t="s">
        <v>1324</v>
      </c>
      <c r="G962" t="s">
        <v>46</v>
      </c>
    </row>
    <row r="963" spans="1:7" x14ac:dyDescent="0.35">
      <c r="A963" t="s">
        <v>2349</v>
      </c>
      <c r="B963" s="4" t="s">
        <v>2346</v>
      </c>
      <c r="C963">
        <v>6</v>
      </c>
      <c r="D963" s="7">
        <v>11</v>
      </c>
      <c r="E963">
        <v>1</v>
      </c>
      <c r="F963" t="s">
        <v>1324</v>
      </c>
      <c r="G963" t="s">
        <v>46</v>
      </c>
    </row>
    <row r="964" spans="1:7" x14ac:dyDescent="0.35">
      <c r="A964" t="s">
        <v>2350</v>
      </c>
      <c r="B964" s="4" t="s">
        <v>2346</v>
      </c>
      <c r="C964">
        <v>9</v>
      </c>
      <c r="D964" s="7">
        <v>12</v>
      </c>
      <c r="E964">
        <v>1</v>
      </c>
      <c r="F964" t="s">
        <v>1324</v>
      </c>
      <c r="G964" t="s">
        <v>46</v>
      </c>
    </row>
    <row r="965" spans="1:7" x14ac:dyDescent="0.35">
      <c r="A965" t="s">
        <v>2351</v>
      </c>
      <c r="B965" s="4" t="s">
        <v>2352</v>
      </c>
      <c r="C965">
        <v>4</v>
      </c>
      <c r="D965" s="7">
        <v>11</v>
      </c>
      <c r="E965">
        <v>1</v>
      </c>
      <c r="F965" t="s">
        <v>1324</v>
      </c>
      <c r="G965" t="s">
        <v>46</v>
      </c>
    </row>
    <row r="966" spans="1:7" x14ac:dyDescent="0.35">
      <c r="A966" t="s">
        <v>2353</v>
      </c>
      <c r="B966" s="4" t="s">
        <v>2352</v>
      </c>
      <c r="C966">
        <v>5</v>
      </c>
      <c r="D966" s="7">
        <v>13</v>
      </c>
      <c r="E966">
        <v>1</v>
      </c>
      <c r="F966" t="s">
        <v>1324</v>
      </c>
      <c r="G966" t="s">
        <v>46</v>
      </c>
    </row>
    <row r="967" spans="1:7" x14ac:dyDescent="0.35">
      <c r="A967" t="s">
        <v>2354</v>
      </c>
      <c r="B967" s="4" t="s">
        <v>2352</v>
      </c>
      <c r="C967">
        <v>6</v>
      </c>
      <c r="D967" s="7">
        <v>15</v>
      </c>
      <c r="E967">
        <v>1</v>
      </c>
      <c r="F967" t="s">
        <v>1324</v>
      </c>
      <c r="G967" t="s">
        <v>46</v>
      </c>
    </row>
    <row r="968" spans="1:7" x14ac:dyDescent="0.35">
      <c r="A968" t="s">
        <v>2355</v>
      </c>
      <c r="B968" s="4" t="s">
        <v>2352</v>
      </c>
      <c r="C968">
        <v>9</v>
      </c>
      <c r="D968" s="7">
        <v>15</v>
      </c>
      <c r="E968">
        <v>1</v>
      </c>
      <c r="F968" t="s">
        <v>1324</v>
      </c>
      <c r="G968" t="s">
        <v>46</v>
      </c>
    </row>
    <row r="969" spans="1:7" x14ac:dyDescent="0.35">
      <c r="A969" t="s">
        <v>2356</v>
      </c>
      <c r="B969" s="4" t="s">
        <v>2357</v>
      </c>
      <c r="C969">
        <v>4</v>
      </c>
      <c r="D969" s="7">
        <v>7</v>
      </c>
      <c r="E969">
        <v>1</v>
      </c>
      <c r="F969" t="s">
        <v>1324</v>
      </c>
      <c r="G969" t="s">
        <v>46</v>
      </c>
    </row>
    <row r="970" spans="1:7" x14ac:dyDescent="0.35">
      <c r="A970" t="s">
        <v>2358</v>
      </c>
      <c r="B970" s="4" t="s">
        <v>2357</v>
      </c>
      <c r="C970">
        <v>5</v>
      </c>
      <c r="D970" s="7">
        <v>5</v>
      </c>
      <c r="E970">
        <v>1</v>
      </c>
      <c r="F970" t="s">
        <v>1324</v>
      </c>
      <c r="G970" t="s">
        <v>46</v>
      </c>
    </row>
    <row r="971" spans="1:7" x14ac:dyDescent="0.35">
      <c r="A971" t="s">
        <v>2359</v>
      </c>
      <c r="B971" s="4" t="s">
        <v>2357</v>
      </c>
      <c r="C971">
        <v>6</v>
      </c>
      <c r="D971" s="7">
        <v>5</v>
      </c>
      <c r="E971">
        <v>1</v>
      </c>
      <c r="F971" t="s">
        <v>1324</v>
      </c>
      <c r="G971" t="s">
        <v>46</v>
      </c>
    </row>
    <row r="972" spans="1:7" x14ac:dyDescent="0.35">
      <c r="A972" t="s">
        <v>2360</v>
      </c>
      <c r="B972" s="4" t="s">
        <v>2357</v>
      </c>
      <c r="C972">
        <v>9</v>
      </c>
      <c r="D972" s="7">
        <v>5</v>
      </c>
      <c r="E972">
        <v>1</v>
      </c>
      <c r="F972" t="s">
        <v>1324</v>
      </c>
      <c r="G972" t="s">
        <v>46</v>
      </c>
    </row>
    <row r="973" spans="1:7" x14ac:dyDescent="0.35">
      <c r="A973" t="s">
        <v>2361</v>
      </c>
      <c r="B973" s="4" t="s">
        <v>2362</v>
      </c>
      <c r="C973">
        <v>4</v>
      </c>
      <c r="D973" s="7">
        <v>4</v>
      </c>
      <c r="E973">
        <v>1</v>
      </c>
      <c r="F973" t="s">
        <v>1324</v>
      </c>
      <c r="G973" t="s">
        <v>46</v>
      </c>
    </row>
    <row r="974" spans="1:7" x14ac:dyDescent="0.35">
      <c r="A974" t="s">
        <v>2363</v>
      </c>
      <c r="B974" s="4" t="s">
        <v>2362</v>
      </c>
      <c r="C974">
        <v>5</v>
      </c>
      <c r="D974" s="7">
        <v>4</v>
      </c>
      <c r="E974">
        <v>1</v>
      </c>
      <c r="F974" t="s">
        <v>1324</v>
      </c>
      <c r="G974" t="s">
        <v>46</v>
      </c>
    </row>
    <row r="975" spans="1:7" x14ac:dyDescent="0.35">
      <c r="A975" t="s">
        <v>2364</v>
      </c>
      <c r="B975" s="4" t="s">
        <v>2362</v>
      </c>
      <c r="C975">
        <v>6</v>
      </c>
      <c r="D975" s="7">
        <v>6</v>
      </c>
      <c r="E975">
        <v>1</v>
      </c>
      <c r="F975" t="s">
        <v>1324</v>
      </c>
      <c r="G975" t="s">
        <v>46</v>
      </c>
    </row>
    <row r="976" spans="1:7" x14ac:dyDescent="0.35">
      <c r="A976" t="s">
        <v>2365</v>
      </c>
      <c r="B976" s="4" t="s">
        <v>2362</v>
      </c>
      <c r="C976">
        <v>9</v>
      </c>
      <c r="D976" s="7">
        <v>4</v>
      </c>
      <c r="E976">
        <v>1</v>
      </c>
      <c r="F976" t="s">
        <v>1324</v>
      </c>
      <c r="G976" t="s">
        <v>46</v>
      </c>
    </row>
    <row r="977" spans="1:7" x14ac:dyDescent="0.35">
      <c r="A977" t="s">
        <v>2366</v>
      </c>
      <c r="B977" s="4" t="s">
        <v>2367</v>
      </c>
      <c r="C977">
        <v>1</v>
      </c>
      <c r="D977" s="7">
        <v>3</v>
      </c>
      <c r="E977">
        <v>2</v>
      </c>
      <c r="F977" t="s">
        <v>1321</v>
      </c>
      <c r="G977" t="s">
        <v>54</v>
      </c>
    </row>
    <row r="978" spans="1:7" x14ac:dyDescent="0.35">
      <c r="A978" t="s">
        <v>2368</v>
      </c>
      <c r="B978" s="4" t="s">
        <v>2367</v>
      </c>
      <c r="C978">
        <v>4</v>
      </c>
      <c r="D978" s="7">
        <v>14</v>
      </c>
      <c r="E978">
        <v>1</v>
      </c>
      <c r="F978" t="s">
        <v>1324</v>
      </c>
      <c r="G978" t="s">
        <v>46</v>
      </c>
    </row>
    <row r="979" spans="1:7" x14ac:dyDescent="0.35">
      <c r="A979" t="s">
        <v>2369</v>
      </c>
      <c r="B979" s="4" t="s">
        <v>2367</v>
      </c>
      <c r="C979">
        <v>5</v>
      </c>
      <c r="D979" s="7">
        <v>9</v>
      </c>
      <c r="E979">
        <v>1</v>
      </c>
      <c r="F979" t="s">
        <v>1324</v>
      </c>
      <c r="G979" t="s">
        <v>46</v>
      </c>
    </row>
    <row r="980" spans="1:7" x14ac:dyDescent="0.35">
      <c r="A980" t="s">
        <v>2370</v>
      </c>
      <c r="B980" s="4" t="s">
        <v>2367</v>
      </c>
      <c r="C980">
        <v>6</v>
      </c>
      <c r="D980" s="7">
        <v>11</v>
      </c>
      <c r="E980">
        <v>1</v>
      </c>
      <c r="F980" t="s">
        <v>1324</v>
      </c>
      <c r="G980" t="s">
        <v>46</v>
      </c>
    </row>
    <row r="981" spans="1:7" x14ac:dyDescent="0.35">
      <c r="A981" t="s">
        <v>2371</v>
      </c>
      <c r="B981" s="4" t="s">
        <v>2367</v>
      </c>
      <c r="C981">
        <v>9</v>
      </c>
      <c r="D981" s="7">
        <v>15</v>
      </c>
      <c r="E981">
        <v>1</v>
      </c>
      <c r="F981" t="s">
        <v>1324</v>
      </c>
      <c r="G981" t="s">
        <v>46</v>
      </c>
    </row>
    <row r="982" spans="1:7" x14ac:dyDescent="0.35">
      <c r="A982" t="s">
        <v>2372</v>
      </c>
      <c r="B982" s="4" t="s">
        <v>2373</v>
      </c>
      <c r="C982">
        <v>4</v>
      </c>
      <c r="D982" s="7">
        <v>14</v>
      </c>
      <c r="E982">
        <v>1</v>
      </c>
      <c r="F982" t="s">
        <v>1324</v>
      </c>
      <c r="G982" t="s">
        <v>46</v>
      </c>
    </row>
    <row r="983" spans="1:7" x14ac:dyDescent="0.35">
      <c r="A983" t="s">
        <v>2374</v>
      </c>
      <c r="B983" s="4" t="s">
        <v>2373</v>
      </c>
      <c r="C983">
        <v>5</v>
      </c>
      <c r="D983" s="7">
        <v>13</v>
      </c>
      <c r="E983">
        <v>1</v>
      </c>
      <c r="F983" t="s">
        <v>1324</v>
      </c>
      <c r="G983" t="s">
        <v>46</v>
      </c>
    </row>
    <row r="984" spans="1:7" x14ac:dyDescent="0.35">
      <c r="A984" t="s">
        <v>2375</v>
      </c>
      <c r="B984" s="4" t="s">
        <v>2373</v>
      </c>
      <c r="C984">
        <v>6</v>
      </c>
      <c r="D984" s="7">
        <v>11</v>
      </c>
      <c r="E984">
        <v>1</v>
      </c>
      <c r="F984" t="s">
        <v>1324</v>
      </c>
      <c r="G984" t="s">
        <v>46</v>
      </c>
    </row>
    <row r="985" spans="1:7" x14ac:dyDescent="0.35">
      <c r="A985" t="s">
        <v>2376</v>
      </c>
      <c r="B985" s="4" t="s">
        <v>2373</v>
      </c>
      <c r="C985">
        <v>9</v>
      </c>
      <c r="D985" s="7">
        <v>14</v>
      </c>
      <c r="E985">
        <v>1</v>
      </c>
      <c r="F985" t="s">
        <v>1324</v>
      </c>
      <c r="G985" t="s">
        <v>46</v>
      </c>
    </row>
    <row r="986" spans="1:7" x14ac:dyDescent="0.35">
      <c r="A986" t="s">
        <v>2377</v>
      </c>
      <c r="B986" s="4" t="s">
        <v>2378</v>
      </c>
      <c r="C986">
        <v>4</v>
      </c>
      <c r="D986" s="7">
        <v>9</v>
      </c>
      <c r="E986">
        <v>1</v>
      </c>
      <c r="F986" t="s">
        <v>1324</v>
      </c>
      <c r="G986" t="s">
        <v>46</v>
      </c>
    </row>
    <row r="987" spans="1:7" x14ac:dyDescent="0.35">
      <c r="A987" t="s">
        <v>2379</v>
      </c>
      <c r="B987" s="4" t="s">
        <v>2378</v>
      </c>
      <c r="C987">
        <v>5</v>
      </c>
      <c r="D987" s="7">
        <v>13</v>
      </c>
      <c r="E987">
        <v>1</v>
      </c>
      <c r="F987" t="s">
        <v>1324</v>
      </c>
      <c r="G987" t="s">
        <v>46</v>
      </c>
    </row>
    <row r="988" spans="1:7" x14ac:dyDescent="0.35">
      <c r="A988" t="s">
        <v>2380</v>
      </c>
      <c r="B988" s="4" t="s">
        <v>2378</v>
      </c>
      <c r="C988">
        <v>6</v>
      </c>
      <c r="D988" s="7">
        <v>10</v>
      </c>
      <c r="E988">
        <v>1</v>
      </c>
      <c r="F988" t="s">
        <v>1324</v>
      </c>
      <c r="G988" t="s">
        <v>46</v>
      </c>
    </row>
    <row r="989" spans="1:7" x14ac:dyDescent="0.35">
      <c r="A989" t="s">
        <v>2381</v>
      </c>
      <c r="B989" s="4" t="s">
        <v>2378</v>
      </c>
      <c r="C989">
        <v>9</v>
      </c>
      <c r="D989" s="7">
        <v>10</v>
      </c>
      <c r="E989">
        <v>1</v>
      </c>
      <c r="F989" t="s">
        <v>1324</v>
      </c>
      <c r="G989" t="s">
        <v>46</v>
      </c>
    </row>
    <row r="990" spans="1:7" x14ac:dyDescent="0.35">
      <c r="A990" t="s">
        <v>2382</v>
      </c>
      <c r="B990" s="4" t="s">
        <v>2383</v>
      </c>
      <c r="C990">
        <v>1</v>
      </c>
      <c r="D990" s="7">
        <v>5</v>
      </c>
      <c r="E990">
        <v>1</v>
      </c>
      <c r="F990" t="s">
        <v>1321</v>
      </c>
      <c r="G990" t="s">
        <v>46</v>
      </c>
    </row>
    <row r="991" spans="1:7" x14ac:dyDescent="0.35">
      <c r="A991" t="s">
        <v>2384</v>
      </c>
      <c r="B991" s="4" t="s">
        <v>2383</v>
      </c>
      <c r="C991">
        <v>4</v>
      </c>
      <c r="D991" s="7">
        <v>15</v>
      </c>
      <c r="E991">
        <v>1</v>
      </c>
      <c r="F991" t="s">
        <v>1324</v>
      </c>
      <c r="G991" t="s">
        <v>46</v>
      </c>
    </row>
    <row r="992" spans="1:7" x14ac:dyDescent="0.35">
      <c r="A992" t="s">
        <v>2385</v>
      </c>
      <c r="B992" s="4" t="s">
        <v>2383</v>
      </c>
      <c r="C992">
        <v>5</v>
      </c>
      <c r="D992" s="7">
        <v>15</v>
      </c>
      <c r="E992">
        <v>1</v>
      </c>
      <c r="F992" t="s">
        <v>1324</v>
      </c>
      <c r="G992" t="s">
        <v>46</v>
      </c>
    </row>
    <row r="993" spans="1:7" x14ac:dyDescent="0.35">
      <c r="A993" t="s">
        <v>2386</v>
      </c>
      <c r="B993" s="4" t="s">
        <v>2383</v>
      </c>
      <c r="C993">
        <v>6</v>
      </c>
      <c r="D993" s="7">
        <v>8</v>
      </c>
      <c r="E993">
        <v>1</v>
      </c>
      <c r="F993" t="s">
        <v>1324</v>
      </c>
      <c r="G993" t="s">
        <v>46</v>
      </c>
    </row>
    <row r="994" spans="1:7" x14ac:dyDescent="0.35">
      <c r="A994" t="s">
        <v>2387</v>
      </c>
      <c r="B994" s="4" t="s">
        <v>2383</v>
      </c>
      <c r="C994">
        <v>9</v>
      </c>
      <c r="D994" s="7">
        <v>9</v>
      </c>
      <c r="E994">
        <v>1</v>
      </c>
      <c r="F994" t="s">
        <v>1324</v>
      </c>
      <c r="G994" t="s">
        <v>46</v>
      </c>
    </row>
    <row r="995" spans="1:7" x14ac:dyDescent="0.35">
      <c r="A995" t="s">
        <v>2388</v>
      </c>
      <c r="B995" s="4" t="s">
        <v>2389</v>
      </c>
      <c r="C995">
        <v>1</v>
      </c>
      <c r="D995" s="7">
        <v>3</v>
      </c>
      <c r="E995">
        <v>1</v>
      </c>
      <c r="F995" t="s">
        <v>1321</v>
      </c>
      <c r="G995" t="s">
        <v>46</v>
      </c>
    </row>
    <row r="996" spans="1:7" x14ac:dyDescent="0.35">
      <c r="A996" t="s">
        <v>2390</v>
      </c>
      <c r="B996" s="4" t="s">
        <v>2389</v>
      </c>
      <c r="C996">
        <v>4</v>
      </c>
      <c r="D996" s="7">
        <v>14</v>
      </c>
      <c r="E996">
        <v>1</v>
      </c>
      <c r="F996" t="s">
        <v>1324</v>
      </c>
      <c r="G996" t="s">
        <v>46</v>
      </c>
    </row>
    <row r="997" spans="1:7" x14ac:dyDescent="0.35">
      <c r="A997" t="s">
        <v>2391</v>
      </c>
      <c r="B997" s="4" t="s">
        <v>2389</v>
      </c>
      <c r="C997">
        <v>5</v>
      </c>
      <c r="D997" s="7">
        <v>9</v>
      </c>
      <c r="E997">
        <v>1</v>
      </c>
      <c r="F997" t="s">
        <v>1324</v>
      </c>
      <c r="G997" t="s">
        <v>46</v>
      </c>
    </row>
    <row r="998" spans="1:7" x14ac:dyDescent="0.35">
      <c r="A998" t="s">
        <v>2392</v>
      </c>
      <c r="B998" s="4" t="s">
        <v>2389</v>
      </c>
      <c r="C998">
        <v>6</v>
      </c>
      <c r="D998" s="7">
        <v>12</v>
      </c>
      <c r="E998">
        <v>1</v>
      </c>
      <c r="F998" t="s">
        <v>1324</v>
      </c>
      <c r="G998" t="s">
        <v>46</v>
      </c>
    </row>
    <row r="999" spans="1:7" x14ac:dyDescent="0.35">
      <c r="A999" t="s">
        <v>2393</v>
      </c>
      <c r="B999" s="4" t="s">
        <v>2389</v>
      </c>
      <c r="C999">
        <v>9</v>
      </c>
      <c r="D999" s="7">
        <v>11</v>
      </c>
      <c r="E999">
        <v>1</v>
      </c>
      <c r="F999" t="s">
        <v>1324</v>
      </c>
      <c r="G999" t="s">
        <v>46</v>
      </c>
    </row>
    <row r="1000" spans="1:7" x14ac:dyDescent="0.35">
      <c r="A1000" t="s">
        <v>2394</v>
      </c>
      <c r="B1000" s="4" t="s">
        <v>2395</v>
      </c>
      <c r="C1000">
        <v>4</v>
      </c>
      <c r="D1000" s="7">
        <v>7</v>
      </c>
      <c r="E1000">
        <v>1</v>
      </c>
      <c r="F1000" t="s">
        <v>1324</v>
      </c>
      <c r="G1000" t="s">
        <v>46</v>
      </c>
    </row>
    <row r="1001" spans="1:7" x14ac:dyDescent="0.35">
      <c r="A1001" t="s">
        <v>2396</v>
      </c>
      <c r="B1001" s="4" t="s">
        <v>2395</v>
      </c>
      <c r="C1001">
        <v>5</v>
      </c>
      <c r="D1001" s="7">
        <v>4</v>
      </c>
      <c r="E1001">
        <v>1</v>
      </c>
      <c r="F1001" t="s">
        <v>1324</v>
      </c>
      <c r="G1001" t="s">
        <v>46</v>
      </c>
    </row>
    <row r="1002" spans="1:7" x14ac:dyDescent="0.35">
      <c r="A1002" t="s">
        <v>2397</v>
      </c>
      <c r="B1002" s="4" t="s">
        <v>2395</v>
      </c>
      <c r="C1002">
        <v>6</v>
      </c>
      <c r="D1002" s="7">
        <v>4</v>
      </c>
      <c r="E1002">
        <v>1</v>
      </c>
      <c r="F1002" t="s">
        <v>1324</v>
      </c>
      <c r="G1002" t="s">
        <v>46</v>
      </c>
    </row>
    <row r="1003" spans="1:7" x14ac:dyDescent="0.35">
      <c r="A1003" t="s">
        <v>2398</v>
      </c>
      <c r="B1003" s="4" t="s">
        <v>2395</v>
      </c>
      <c r="C1003">
        <v>9</v>
      </c>
      <c r="D1003" s="7">
        <v>7</v>
      </c>
      <c r="E1003">
        <v>1</v>
      </c>
      <c r="F1003" t="s">
        <v>1324</v>
      </c>
      <c r="G1003" t="s">
        <v>46</v>
      </c>
    </row>
    <row r="1004" spans="1:7" x14ac:dyDescent="0.35">
      <c r="A1004" t="s">
        <v>2399</v>
      </c>
      <c r="B1004" s="4" t="s">
        <v>2400</v>
      </c>
      <c r="C1004">
        <v>4</v>
      </c>
      <c r="D1004" s="7">
        <v>5</v>
      </c>
      <c r="E1004">
        <v>1</v>
      </c>
      <c r="F1004" t="s">
        <v>1324</v>
      </c>
      <c r="G1004" t="s">
        <v>46</v>
      </c>
    </row>
    <row r="1005" spans="1:7" x14ac:dyDescent="0.35">
      <c r="A1005" t="s">
        <v>2401</v>
      </c>
      <c r="B1005" s="4" t="s">
        <v>2400</v>
      </c>
      <c r="C1005">
        <v>5</v>
      </c>
      <c r="D1005" s="7">
        <v>6</v>
      </c>
      <c r="E1005">
        <v>1</v>
      </c>
      <c r="F1005" t="s">
        <v>1324</v>
      </c>
      <c r="G1005" t="s">
        <v>46</v>
      </c>
    </row>
    <row r="1006" spans="1:7" x14ac:dyDescent="0.35">
      <c r="A1006" t="s">
        <v>2402</v>
      </c>
      <c r="B1006" s="4" t="s">
        <v>2400</v>
      </c>
      <c r="C1006">
        <v>6</v>
      </c>
      <c r="D1006" s="7">
        <v>7</v>
      </c>
      <c r="E1006">
        <v>1</v>
      </c>
      <c r="F1006" t="s">
        <v>1324</v>
      </c>
      <c r="G1006" t="s">
        <v>46</v>
      </c>
    </row>
    <row r="1007" spans="1:7" x14ac:dyDescent="0.35">
      <c r="A1007" t="s">
        <v>2403</v>
      </c>
      <c r="B1007" s="4" t="s">
        <v>2400</v>
      </c>
      <c r="C1007">
        <v>9</v>
      </c>
      <c r="D1007" s="7">
        <v>4</v>
      </c>
      <c r="E1007">
        <v>1</v>
      </c>
      <c r="F1007" t="s">
        <v>1324</v>
      </c>
      <c r="G1007" t="s">
        <v>46</v>
      </c>
    </row>
    <row r="1008" spans="1:7" x14ac:dyDescent="0.35">
      <c r="A1008" t="s">
        <v>2404</v>
      </c>
      <c r="B1008" s="4" t="s">
        <v>2405</v>
      </c>
      <c r="C1008">
        <v>1</v>
      </c>
      <c r="D1008" s="7">
        <v>2</v>
      </c>
      <c r="E1008">
        <v>2</v>
      </c>
      <c r="F1008" t="s">
        <v>1321</v>
      </c>
      <c r="G1008" t="s">
        <v>54</v>
      </c>
    </row>
    <row r="1009" spans="1:7" x14ac:dyDescent="0.35">
      <c r="A1009" t="s">
        <v>2406</v>
      </c>
      <c r="B1009" s="4" t="s">
        <v>2405</v>
      </c>
      <c r="C1009">
        <v>4</v>
      </c>
      <c r="D1009" s="7">
        <v>9</v>
      </c>
      <c r="E1009">
        <v>1</v>
      </c>
      <c r="F1009" t="s">
        <v>1324</v>
      </c>
      <c r="G1009" t="s">
        <v>46</v>
      </c>
    </row>
    <row r="1010" spans="1:7" x14ac:dyDescent="0.35">
      <c r="A1010" t="s">
        <v>2407</v>
      </c>
      <c r="B1010" s="4" t="s">
        <v>2405</v>
      </c>
      <c r="C1010">
        <v>5</v>
      </c>
      <c r="D1010" s="7">
        <v>13</v>
      </c>
      <c r="E1010">
        <v>1</v>
      </c>
      <c r="F1010" t="s">
        <v>1324</v>
      </c>
      <c r="G1010" t="s">
        <v>46</v>
      </c>
    </row>
    <row r="1011" spans="1:7" x14ac:dyDescent="0.35">
      <c r="A1011" t="s">
        <v>2408</v>
      </c>
      <c r="B1011" s="4" t="s">
        <v>2405</v>
      </c>
      <c r="C1011">
        <v>6</v>
      </c>
      <c r="D1011" s="7">
        <v>9</v>
      </c>
      <c r="E1011">
        <v>1</v>
      </c>
      <c r="F1011" t="s">
        <v>1324</v>
      </c>
      <c r="G1011" t="s">
        <v>46</v>
      </c>
    </row>
    <row r="1012" spans="1:7" x14ac:dyDescent="0.35">
      <c r="A1012" t="s">
        <v>2409</v>
      </c>
      <c r="B1012" s="4" t="s">
        <v>2405</v>
      </c>
      <c r="C1012">
        <v>9</v>
      </c>
      <c r="D1012" s="7">
        <v>8</v>
      </c>
      <c r="E1012">
        <v>1</v>
      </c>
      <c r="F1012" t="s">
        <v>1324</v>
      </c>
      <c r="G1012" t="s">
        <v>46</v>
      </c>
    </row>
    <row r="1013" spans="1:7" x14ac:dyDescent="0.35">
      <c r="A1013" t="s">
        <v>2410</v>
      </c>
      <c r="B1013" s="4" t="s">
        <v>768</v>
      </c>
      <c r="C1013">
        <v>1</v>
      </c>
      <c r="D1013" s="7">
        <v>5</v>
      </c>
      <c r="E1013">
        <v>1</v>
      </c>
      <c r="F1013" t="s">
        <v>1321</v>
      </c>
      <c r="G1013" t="s">
        <v>46</v>
      </c>
    </row>
    <row r="1014" spans="1:7" x14ac:dyDescent="0.35">
      <c r="A1014" t="s">
        <v>2411</v>
      </c>
      <c r="B1014" s="4" t="s">
        <v>768</v>
      </c>
      <c r="C1014">
        <v>1</v>
      </c>
      <c r="D1014" s="7">
        <v>2</v>
      </c>
      <c r="E1014">
        <v>2</v>
      </c>
      <c r="F1014" t="s">
        <v>1321</v>
      </c>
      <c r="G1014" t="s">
        <v>54</v>
      </c>
    </row>
    <row r="1015" spans="1:7" x14ac:dyDescent="0.35">
      <c r="A1015" t="s">
        <v>2412</v>
      </c>
      <c r="B1015" s="4" t="s">
        <v>768</v>
      </c>
      <c r="C1015">
        <v>4</v>
      </c>
      <c r="D1015" s="7">
        <v>12</v>
      </c>
      <c r="E1015">
        <v>1</v>
      </c>
      <c r="F1015" t="s">
        <v>1324</v>
      </c>
      <c r="G1015" t="s">
        <v>46</v>
      </c>
    </row>
    <row r="1016" spans="1:7" x14ac:dyDescent="0.35">
      <c r="A1016" t="s">
        <v>2413</v>
      </c>
      <c r="B1016" s="4" t="s">
        <v>768</v>
      </c>
      <c r="C1016">
        <v>5</v>
      </c>
      <c r="D1016" s="7">
        <v>8</v>
      </c>
      <c r="E1016">
        <v>1</v>
      </c>
      <c r="F1016" t="s">
        <v>1324</v>
      </c>
      <c r="G1016" t="s">
        <v>46</v>
      </c>
    </row>
    <row r="1017" spans="1:7" x14ac:dyDescent="0.35">
      <c r="A1017" t="s">
        <v>2414</v>
      </c>
      <c r="B1017" s="4" t="s">
        <v>768</v>
      </c>
      <c r="C1017">
        <v>6</v>
      </c>
      <c r="D1017" s="7">
        <v>13</v>
      </c>
      <c r="E1017">
        <v>1</v>
      </c>
      <c r="F1017" t="s">
        <v>1324</v>
      </c>
      <c r="G1017" t="s">
        <v>46</v>
      </c>
    </row>
    <row r="1018" spans="1:7" x14ac:dyDescent="0.35">
      <c r="A1018" t="s">
        <v>2415</v>
      </c>
      <c r="B1018" s="4" t="s">
        <v>768</v>
      </c>
      <c r="C1018">
        <v>9</v>
      </c>
      <c r="D1018" s="7">
        <v>9</v>
      </c>
      <c r="E1018">
        <v>1</v>
      </c>
      <c r="F1018" t="s">
        <v>1324</v>
      </c>
      <c r="G1018" t="s">
        <v>46</v>
      </c>
    </row>
    <row r="1019" spans="1:7" x14ac:dyDescent="0.35">
      <c r="A1019" t="s">
        <v>2416</v>
      </c>
      <c r="B1019" s="4" t="s">
        <v>775</v>
      </c>
      <c r="C1019">
        <v>1</v>
      </c>
      <c r="D1019" s="7">
        <v>2</v>
      </c>
      <c r="E1019">
        <v>1</v>
      </c>
      <c r="F1019" t="s">
        <v>1321</v>
      </c>
      <c r="G1019" t="s">
        <v>46</v>
      </c>
    </row>
    <row r="1020" spans="1:7" x14ac:dyDescent="0.35">
      <c r="A1020" t="s">
        <v>2417</v>
      </c>
      <c r="B1020" s="4" t="s">
        <v>775</v>
      </c>
      <c r="C1020">
        <v>4</v>
      </c>
      <c r="D1020" s="7">
        <v>13</v>
      </c>
      <c r="E1020">
        <v>1</v>
      </c>
      <c r="F1020" t="s">
        <v>1324</v>
      </c>
      <c r="G1020" t="s">
        <v>46</v>
      </c>
    </row>
    <row r="1021" spans="1:7" x14ac:dyDescent="0.35">
      <c r="A1021" t="s">
        <v>2418</v>
      </c>
      <c r="B1021" s="4" t="s">
        <v>775</v>
      </c>
      <c r="C1021">
        <v>5</v>
      </c>
      <c r="D1021" s="7">
        <v>10</v>
      </c>
      <c r="E1021">
        <v>1</v>
      </c>
      <c r="F1021" t="s">
        <v>1324</v>
      </c>
      <c r="G1021" t="s">
        <v>46</v>
      </c>
    </row>
    <row r="1022" spans="1:7" x14ac:dyDescent="0.35">
      <c r="A1022" t="s">
        <v>2419</v>
      </c>
      <c r="B1022" s="4" t="s">
        <v>775</v>
      </c>
      <c r="C1022">
        <v>6</v>
      </c>
      <c r="D1022" s="7">
        <v>8</v>
      </c>
      <c r="E1022">
        <v>1</v>
      </c>
      <c r="F1022" t="s">
        <v>1324</v>
      </c>
      <c r="G1022" t="s">
        <v>46</v>
      </c>
    </row>
    <row r="1023" spans="1:7" x14ac:dyDescent="0.35">
      <c r="A1023" t="s">
        <v>2420</v>
      </c>
      <c r="B1023" s="4" t="s">
        <v>775</v>
      </c>
      <c r="C1023">
        <v>9</v>
      </c>
      <c r="D1023" s="7">
        <v>13</v>
      </c>
      <c r="E1023">
        <v>1</v>
      </c>
      <c r="F1023" t="s">
        <v>1324</v>
      </c>
      <c r="G1023" t="s">
        <v>46</v>
      </c>
    </row>
    <row r="1024" spans="1:7" x14ac:dyDescent="0.35">
      <c r="A1024" t="s">
        <v>2421</v>
      </c>
      <c r="B1024" s="4" t="s">
        <v>781</v>
      </c>
      <c r="C1024">
        <v>4</v>
      </c>
      <c r="D1024" s="7">
        <v>15</v>
      </c>
      <c r="E1024">
        <v>1</v>
      </c>
      <c r="F1024" t="s">
        <v>1324</v>
      </c>
      <c r="G1024" t="s">
        <v>46</v>
      </c>
    </row>
    <row r="1025" spans="1:7" x14ac:dyDescent="0.35">
      <c r="A1025" t="s">
        <v>2422</v>
      </c>
      <c r="B1025" s="4" t="s">
        <v>781</v>
      </c>
      <c r="C1025">
        <v>5</v>
      </c>
      <c r="D1025" s="7">
        <v>15</v>
      </c>
      <c r="E1025">
        <v>1</v>
      </c>
      <c r="F1025" t="s">
        <v>1324</v>
      </c>
      <c r="G1025" t="s">
        <v>46</v>
      </c>
    </row>
    <row r="1026" spans="1:7" x14ac:dyDescent="0.35">
      <c r="A1026" t="s">
        <v>2423</v>
      </c>
      <c r="B1026" s="4" t="s">
        <v>781</v>
      </c>
      <c r="C1026">
        <v>6</v>
      </c>
      <c r="D1026" s="7">
        <v>10</v>
      </c>
      <c r="E1026">
        <v>1</v>
      </c>
      <c r="F1026" t="s">
        <v>1324</v>
      </c>
      <c r="G1026" t="s">
        <v>46</v>
      </c>
    </row>
    <row r="1027" spans="1:7" x14ac:dyDescent="0.35">
      <c r="A1027" t="s">
        <v>2424</v>
      </c>
      <c r="B1027" s="4" t="s">
        <v>781</v>
      </c>
      <c r="C1027">
        <v>9</v>
      </c>
      <c r="D1027" s="7">
        <v>10</v>
      </c>
      <c r="E1027">
        <v>1</v>
      </c>
      <c r="F1027" t="s">
        <v>1324</v>
      </c>
      <c r="G1027" t="s">
        <v>46</v>
      </c>
    </row>
    <row r="1028" spans="1:7" x14ac:dyDescent="0.35">
      <c r="A1028" t="s">
        <v>2425</v>
      </c>
      <c r="B1028" s="4" t="s">
        <v>786</v>
      </c>
      <c r="C1028">
        <v>1</v>
      </c>
      <c r="D1028" s="7">
        <v>5</v>
      </c>
      <c r="E1028">
        <v>1</v>
      </c>
      <c r="F1028" t="s">
        <v>1321</v>
      </c>
      <c r="G1028" t="s">
        <v>46</v>
      </c>
    </row>
    <row r="1029" spans="1:7" x14ac:dyDescent="0.35">
      <c r="A1029" t="s">
        <v>2426</v>
      </c>
      <c r="B1029" s="4" t="s">
        <v>786</v>
      </c>
      <c r="C1029">
        <v>1</v>
      </c>
      <c r="D1029" s="7">
        <v>1</v>
      </c>
      <c r="E1029">
        <v>2</v>
      </c>
      <c r="F1029" t="s">
        <v>1321</v>
      </c>
      <c r="G1029" t="s">
        <v>54</v>
      </c>
    </row>
    <row r="1030" spans="1:7" x14ac:dyDescent="0.35">
      <c r="A1030" t="s">
        <v>2427</v>
      </c>
      <c r="B1030" s="4" t="s">
        <v>786</v>
      </c>
      <c r="C1030">
        <v>4</v>
      </c>
      <c r="D1030" s="7">
        <v>11</v>
      </c>
      <c r="E1030">
        <v>1</v>
      </c>
      <c r="F1030" t="s">
        <v>1324</v>
      </c>
      <c r="G1030" t="s">
        <v>46</v>
      </c>
    </row>
    <row r="1031" spans="1:7" x14ac:dyDescent="0.35">
      <c r="A1031" t="s">
        <v>2428</v>
      </c>
      <c r="B1031" s="4" t="s">
        <v>786</v>
      </c>
      <c r="C1031">
        <v>5</v>
      </c>
      <c r="D1031" s="7">
        <v>8</v>
      </c>
      <c r="E1031">
        <v>1</v>
      </c>
      <c r="F1031" t="s">
        <v>1324</v>
      </c>
      <c r="G1031" t="s">
        <v>46</v>
      </c>
    </row>
    <row r="1032" spans="1:7" x14ac:dyDescent="0.35">
      <c r="A1032" t="s">
        <v>2429</v>
      </c>
      <c r="B1032" s="4" t="s">
        <v>786</v>
      </c>
      <c r="C1032">
        <v>6</v>
      </c>
      <c r="D1032" s="7">
        <v>13</v>
      </c>
      <c r="E1032">
        <v>1</v>
      </c>
      <c r="F1032" t="s">
        <v>1324</v>
      </c>
      <c r="G1032" t="s">
        <v>46</v>
      </c>
    </row>
    <row r="1033" spans="1:7" x14ac:dyDescent="0.35">
      <c r="A1033" t="s">
        <v>2430</v>
      </c>
      <c r="B1033" s="4" t="s">
        <v>786</v>
      </c>
      <c r="C1033">
        <v>9</v>
      </c>
      <c r="D1033" s="7">
        <v>12</v>
      </c>
      <c r="E1033">
        <v>1</v>
      </c>
      <c r="F1033" t="s">
        <v>1324</v>
      </c>
      <c r="G1033" t="s">
        <v>46</v>
      </c>
    </row>
    <row r="1034" spans="1:7" x14ac:dyDescent="0.35">
      <c r="A1034" t="s">
        <v>2431</v>
      </c>
      <c r="B1034" s="4" t="s">
        <v>797</v>
      </c>
      <c r="C1034">
        <v>4</v>
      </c>
      <c r="D1034" s="7">
        <v>6</v>
      </c>
      <c r="E1034">
        <v>1</v>
      </c>
      <c r="F1034" t="s">
        <v>1324</v>
      </c>
      <c r="G1034" t="s">
        <v>46</v>
      </c>
    </row>
    <row r="1035" spans="1:7" x14ac:dyDescent="0.35">
      <c r="A1035" t="s">
        <v>2432</v>
      </c>
      <c r="B1035" s="4" t="s">
        <v>797</v>
      </c>
      <c r="C1035">
        <v>5</v>
      </c>
      <c r="D1035" s="7">
        <v>4</v>
      </c>
      <c r="E1035">
        <v>1</v>
      </c>
      <c r="F1035" t="s">
        <v>1324</v>
      </c>
      <c r="G1035" t="s">
        <v>46</v>
      </c>
    </row>
    <row r="1036" spans="1:7" x14ac:dyDescent="0.35">
      <c r="A1036" t="s">
        <v>2433</v>
      </c>
      <c r="B1036" s="4" t="s">
        <v>797</v>
      </c>
      <c r="C1036">
        <v>6</v>
      </c>
      <c r="D1036" s="7">
        <v>5</v>
      </c>
      <c r="E1036">
        <v>1</v>
      </c>
      <c r="F1036" t="s">
        <v>1324</v>
      </c>
      <c r="G1036" t="s">
        <v>46</v>
      </c>
    </row>
    <row r="1037" spans="1:7" x14ac:dyDescent="0.35">
      <c r="A1037" t="s">
        <v>2434</v>
      </c>
      <c r="B1037" s="4" t="s">
        <v>797</v>
      </c>
      <c r="C1037">
        <v>9</v>
      </c>
      <c r="D1037" s="7">
        <v>6</v>
      </c>
      <c r="E1037">
        <v>1</v>
      </c>
      <c r="F1037" t="s">
        <v>1324</v>
      </c>
      <c r="G1037" t="s">
        <v>46</v>
      </c>
    </row>
    <row r="1038" spans="1:7" x14ac:dyDescent="0.35">
      <c r="A1038" t="s">
        <v>2435</v>
      </c>
      <c r="B1038" s="4" t="s">
        <v>803</v>
      </c>
      <c r="C1038">
        <v>4</v>
      </c>
      <c r="D1038" s="7">
        <v>4</v>
      </c>
      <c r="E1038">
        <v>1</v>
      </c>
      <c r="F1038" t="s">
        <v>1324</v>
      </c>
      <c r="G1038" t="s">
        <v>46</v>
      </c>
    </row>
    <row r="1039" spans="1:7" x14ac:dyDescent="0.35">
      <c r="A1039" t="s">
        <v>2436</v>
      </c>
      <c r="B1039" s="4" t="s">
        <v>803</v>
      </c>
      <c r="C1039">
        <v>5</v>
      </c>
      <c r="D1039" s="7">
        <v>6</v>
      </c>
      <c r="E1039">
        <v>1</v>
      </c>
      <c r="F1039" t="s">
        <v>1324</v>
      </c>
      <c r="G1039" t="s">
        <v>46</v>
      </c>
    </row>
    <row r="1040" spans="1:7" x14ac:dyDescent="0.35">
      <c r="A1040" t="s">
        <v>2437</v>
      </c>
      <c r="B1040" s="4" t="s">
        <v>803</v>
      </c>
      <c r="C1040">
        <v>6</v>
      </c>
      <c r="D1040" s="7">
        <v>7</v>
      </c>
      <c r="E1040">
        <v>1</v>
      </c>
      <c r="F1040" t="s">
        <v>1324</v>
      </c>
      <c r="G1040" t="s">
        <v>46</v>
      </c>
    </row>
    <row r="1041" spans="1:7" x14ac:dyDescent="0.35">
      <c r="A1041" t="s">
        <v>2438</v>
      </c>
      <c r="B1041" s="4" t="s">
        <v>803</v>
      </c>
      <c r="C1041">
        <v>9</v>
      </c>
      <c r="D1041" s="7">
        <v>7</v>
      </c>
      <c r="E1041">
        <v>1</v>
      </c>
      <c r="F1041" t="s">
        <v>1324</v>
      </c>
      <c r="G1041" t="s">
        <v>46</v>
      </c>
    </row>
    <row r="1042" spans="1:7" x14ac:dyDescent="0.35">
      <c r="A1042" t="s">
        <v>2439</v>
      </c>
      <c r="B1042" s="4" t="s">
        <v>807</v>
      </c>
      <c r="C1042">
        <v>4</v>
      </c>
      <c r="D1042" s="7">
        <v>10</v>
      </c>
      <c r="E1042">
        <v>1</v>
      </c>
      <c r="F1042" t="s">
        <v>1324</v>
      </c>
      <c r="G1042" t="s">
        <v>46</v>
      </c>
    </row>
    <row r="1043" spans="1:7" x14ac:dyDescent="0.35">
      <c r="A1043" t="s">
        <v>2440</v>
      </c>
      <c r="B1043" s="4" t="s">
        <v>807</v>
      </c>
      <c r="C1043">
        <v>5</v>
      </c>
      <c r="D1043" s="7">
        <v>15</v>
      </c>
      <c r="E1043">
        <v>1</v>
      </c>
      <c r="F1043" t="s">
        <v>1324</v>
      </c>
      <c r="G1043" t="s">
        <v>46</v>
      </c>
    </row>
    <row r="1044" spans="1:7" x14ac:dyDescent="0.35">
      <c r="A1044" t="s">
        <v>2441</v>
      </c>
      <c r="B1044" s="4" t="s">
        <v>807</v>
      </c>
      <c r="C1044">
        <v>6</v>
      </c>
      <c r="D1044" s="7">
        <v>15</v>
      </c>
      <c r="E1044">
        <v>1</v>
      </c>
      <c r="F1044" t="s">
        <v>1324</v>
      </c>
      <c r="G1044" t="s">
        <v>46</v>
      </c>
    </row>
    <row r="1045" spans="1:7" x14ac:dyDescent="0.35">
      <c r="A1045" t="s">
        <v>2442</v>
      </c>
      <c r="B1045" s="4" t="s">
        <v>807</v>
      </c>
      <c r="C1045">
        <v>9</v>
      </c>
      <c r="D1045" s="7">
        <v>13</v>
      </c>
      <c r="E1045">
        <v>1</v>
      </c>
      <c r="F1045" t="s">
        <v>1324</v>
      </c>
      <c r="G1045" t="s">
        <v>46</v>
      </c>
    </row>
    <row r="1046" spans="1:7" x14ac:dyDescent="0.35">
      <c r="A1046" t="s">
        <v>2443</v>
      </c>
      <c r="B1046" s="4" t="s">
        <v>812</v>
      </c>
      <c r="C1046">
        <v>4</v>
      </c>
      <c r="D1046" s="7">
        <v>14</v>
      </c>
      <c r="E1046">
        <v>1</v>
      </c>
      <c r="F1046" t="s">
        <v>1324</v>
      </c>
      <c r="G1046" t="s">
        <v>46</v>
      </c>
    </row>
    <row r="1047" spans="1:7" x14ac:dyDescent="0.35">
      <c r="A1047" t="s">
        <v>2444</v>
      </c>
      <c r="B1047" s="4" t="s">
        <v>812</v>
      </c>
      <c r="C1047">
        <v>5</v>
      </c>
      <c r="D1047" s="7">
        <v>9</v>
      </c>
      <c r="E1047">
        <v>1</v>
      </c>
      <c r="F1047" t="s">
        <v>1324</v>
      </c>
      <c r="G1047" t="s">
        <v>46</v>
      </c>
    </row>
    <row r="1048" spans="1:7" x14ac:dyDescent="0.35">
      <c r="A1048" t="s">
        <v>2445</v>
      </c>
      <c r="B1048" s="4" t="s">
        <v>812</v>
      </c>
      <c r="C1048">
        <v>6</v>
      </c>
      <c r="D1048" s="7">
        <v>14</v>
      </c>
      <c r="E1048">
        <v>1</v>
      </c>
      <c r="F1048" t="s">
        <v>1324</v>
      </c>
      <c r="G1048" t="s">
        <v>46</v>
      </c>
    </row>
    <row r="1049" spans="1:7" x14ac:dyDescent="0.35">
      <c r="A1049" t="s">
        <v>2446</v>
      </c>
      <c r="B1049" s="4" t="s">
        <v>812</v>
      </c>
      <c r="C1049">
        <v>9</v>
      </c>
      <c r="D1049" s="7">
        <v>10</v>
      </c>
      <c r="E1049">
        <v>1</v>
      </c>
      <c r="F1049" t="s">
        <v>1324</v>
      </c>
      <c r="G1049" t="s">
        <v>46</v>
      </c>
    </row>
    <row r="1050" spans="1:7" x14ac:dyDescent="0.35">
      <c r="A1050" t="s">
        <v>2447</v>
      </c>
      <c r="B1050" s="4" t="s">
        <v>823</v>
      </c>
      <c r="C1050">
        <v>4</v>
      </c>
      <c r="D1050" s="7">
        <v>12</v>
      </c>
      <c r="E1050">
        <v>1</v>
      </c>
      <c r="F1050" t="s">
        <v>1324</v>
      </c>
      <c r="G1050" t="s">
        <v>46</v>
      </c>
    </row>
    <row r="1051" spans="1:7" x14ac:dyDescent="0.35">
      <c r="A1051" t="s">
        <v>2448</v>
      </c>
      <c r="B1051" s="4" t="s">
        <v>823</v>
      </c>
      <c r="C1051">
        <v>5</v>
      </c>
      <c r="D1051" s="7">
        <v>12</v>
      </c>
      <c r="E1051">
        <v>1</v>
      </c>
      <c r="F1051" t="s">
        <v>1324</v>
      </c>
      <c r="G1051" t="s">
        <v>46</v>
      </c>
    </row>
    <row r="1052" spans="1:7" x14ac:dyDescent="0.35">
      <c r="A1052" t="s">
        <v>2449</v>
      </c>
      <c r="B1052" s="4" t="s">
        <v>823</v>
      </c>
      <c r="C1052">
        <v>6</v>
      </c>
      <c r="D1052" s="7">
        <v>15</v>
      </c>
      <c r="E1052">
        <v>1</v>
      </c>
      <c r="F1052" t="s">
        <v>1324</v>
      </c>
      <c r="G1052" t="s">
        <v>46</v>
      </c>
    </row>
    <row r="1053" spans="1:7" x14ac:dyDescent="0.35">
      <c r="A1053" t="s">
        <v>2450</v>
      </c>
      <c r="B1053" s="4" t="s">
        <v>823</v>
      </c>
      <c r="C1053">
        <v>9</v>
      </c>
      <c r="D1053" s="7">
        <v>14</v>
      </c>
      <c r="E1053">
        <v>1</v>
      </c>
      <c r="F1053" t="s">
        <v>1324</v>
      </c>
      <c r="G1053" t="s">
        <v>46</v>
      </c>
    </row>
    <row r="1054" spans="1:7" x14ac:dyDescent="0.35">
      <c r="A1054" t="s">
        <v>2451</v>
      </c>
      <c r="B1054" s="4" t="s">
        <v>831</v>
      </c>
      <c r="C1054">
        <v>1</v>
      </c>
      <c r="D1054" s="7">
        <v>5</v>
      </c>
      <c r="E1054">
        <v>1</v>
      </c>
      <c r="F1054" t="s">
        <v>1321</v>
      </c>
      <c r="G1054" t="s">
        <v>46</v>
      </c>
    </row>
    <row r="1055" spans="1:7" x14ac:dyDescent="0.35">
      <c r="A1055" t="s">
        <v>2452</v>
      </c>
      <c r="B1055" s="4" t="s">
        <v>831</v>
      </c>
      <c r="C1055">
        <v>4</v>
      </c>
      <c r="D1055" s="7">
        <v>13</v>
      </c>
      <c r="E1055">
        <v>1</v>
      </c>
      <c r="F1055" t="s">
        <v>1324</v>
      </c>
      <c r="G1055" t="s">
        <v>46</v>
      </c>
    </row>
    <row r="1056" spans="1:7" x14ac:dyDescent="0.35">
      <c r="A1056" t="s">
        <v>2453</v>
      </c>
      <c r="B1056" s="4" t="s">
        <v>831</v>
      </c>
      <c r="C1056">
        <v>5</v>
      </c>
      <c r="D1056" s="7">
        <v>14</v>
      </c>
      <c r="E1056">
        <v>1</v>
      </c>
      <c r="F1056" t="s">
        <v>1324</v>
      </c>
      <c r="G1056" t="s">
        <v>46</v>
      </c>
    </row>
    <row r="1057" spans="1:7" x14ac:dyDescent="0.35">
      <c r="A1057" t="s">
        <v>2454</v>
      </c>
      <c r="B1057" s="4" t="s">
        <v>831</v>
      </c>
      <c r="C1057">
        <v>6</v>
      </c>
      <c r="D1057" s="7">
        <v>12</v>
      </c>
      <c r="E1057">
        <v>1</v>
      </c>
      <c r="F1057" t="s">
        <v>1324</v>
      </c>
      <c r="G1057" t="s">
        <v>46</v>
      </c>
    </row>
    <row r="1058" spans="1:7" x14ac:dyDescent="0.35">
      <c r="A1058" t="s">
        <v>2455</v>
      </c>
      <c r="B1058" s="4" t="s">
        <v>831</v>
      </c>
      <c r="C1058">
        <v>9</v>
      </c>
      <c r="D1058" s="7">
        <v>8</v>
      </c>
      <c r="E1058">
        <v>1</v>
      </c>
      <c r="F1058" t="s">
        <v>1324</v>
      </c>
      <c r="G1058" t="s">
        <v>46</v>
      </c>
    </row>
    <row r="1059" spans="1:7" x14ac:dyDescent="0.35">
      <c r="A1059" t="s">
        <v>2456</v>
      </c>
      <c r="B1059" s="4" t="s">
        <v>837</v>
      </c>
      <c r="C1059">
        <v>1</v>
      </c>
      <c r="D1059" s="7">
        <v>5</v>
      </c>
      <c r="E1059">
        <v>1</v>
      </c>
      <c r="F1059" t="s">
        <v>1321</v>
      </c>
      <c r="G1059" t="s">
        <v>46</v>
      </c>
    </row>
    <row r="1060" spans="1:7" x14ac:dyDescent="0.35">
      <c r="A1060" t="s">
        <v>2457</v>
      </c>
      <c r="B1060" s="4" t="s">
        <v>837</v>
      </c>
      <c r="C1060">
        <v>4</v>
      </c>
      <c r="D1060" s="7">
        <v>10</v>
      </c>
      <c r="E1060">
        <v>1</v>
      </c>
      <c r="F1060" t="s">
        <v>1324</v>
      </c>
      <c r="G1060" t="s">
        <v>46</v>
      </c>
    </row>
    <row r="1061" spans="1:7" x14ac:dyDescent="0.35">
      <c r="A1061" t="s">
        <v>2458</v>
      </c>
      <c r="B1061" s="4" t="s">
        <v>837</v>
      </c>
      <c r="C1061">
        <v>5</v>
      </c>
      <c r="D1061" s="7">
        <v>8</v>
      </c>
      <c r="E1061">
        <v>1</v>
      </c>
      <c r="F1061" t="s">
        <v>1324</v>
      </c>
      <c r="G1061" t="s">
        <v>46</v>
      </c>
    </row>
    <row r="1062" spans="1:7" x14ac:dyDescent="0.35">
      <c r="A1062" t="s">
        <v>2459</v>
      </c>
      <c r="B1062" s="4" t="s">
        <v>837</v>
      </c>
      <c r="C1062">
        <v>6</v>
      </c>
      <c r="D1062" s="7">
        <v>10</v>
      </c>
      <c r="E1062">
        <v>1</v>
      </c>
      <c r="F1062" t="s">
        <v>1324</v>
      </c>
      <c r="G1062" t="s">
        <v>46</v>
      </c>
    </row>
    <row r="1063" spans="1:7" x14ac:dyDescent="0.35">
      <c r="A1063" t="s">
        <v>2460</v>
      </c>
      <c r="B1063" s="4" t="s">
        <v>837</v>
      </c>
      <c r="C1063">
        <v>9</v>
      </c>
      <c r="D1063" s="7">
        <v>15</v>
      </c>
      <c r="E1063">
        <v>1</v>
      </c>
      <c r="F1063" t="s">
        <v>1324</v>
      </c>
      <c r="G1063" t="s">
        <v>46</v>
      </c>
    </row>
    <row r="1064" spans="1:7" x14ac:dyDescent="0.35">
      <c r="A1064" t="s">
        <v>2461</v>
      </c>
      <c r="B1064" s="4" t="s">
        <v>2462</v>
      </c>
      <c r="C1064">
        <v>4</v>
      </c>
      <c r="D1064" s="7">
        <v>7</v>
      </c>
      <c r="E1064">
        <v>1</v>
      </c>
      <c r="F1064" t="s">
        <v>1324</v>
      </c>
      <c r="G1064" t="s">
        <v>46</v>
      </c>
    </row>
    <row r="1065" spans="1:7" x14ac:dyDescent="0.35">
      <c r="A1065" t="s">
        <v>2463</v>
      </c>
      <c r="B1065" s="4" t="s">
        <v>2462</v>
      </c>
      <c r="C1065">
        <v>5</v>
      </c>
      <c r="D1065" s="7">
        <v>4</v>
      </c>
      <c r="E1065">
        <v>1</v>
      </c>
      <c r="F1065" t="s">
        <v>1324</v>
      </c>
      <c r="G1065" t="s">
        <v>46</v>
      </c>
    </row>
    <row r="1066" spans="1:7" x14ac:dyDescent="0.35">
      <c r="A1066" t="s">
        <v>2464</v>
      </c>
      <c r="B1066" s="4" t="s">
        <v>2462</v>
      </c>
      <c r="C1066">
        <v>6</v>
      </c>
      <c r="D1066" s="7">
        <v>5</v>
      </c>
      <c r="E1066">
        <v>1</v>
      </c>
      <c r="F1066" t="s">
        <v>1324</v>
      </c>
      <c r="G1066" t="s">
        <v>46</v>
      </c>
    </row>
    <row r="1067" spans="1:7" x14ac:dyDescent="0.35">
      <c r="A1067" t="s">
        <v>2465</v>
      </c>
      <c r="B1067" s="4" t="s">
        <v>2462</v>
      </c>
      <c r="C1067">
        <v>9</v>
      </c>
      <c r="D1067" s="7">
        <v>7</v>
      </c>
      <c r="E1067">
        <v>1</v>
      </c>
      <c r="F1067" t="s">
        <v>1324</v>
      </c>
      <c r="G1067" t="s">
        <v>46</v>
      </c>
    </row>
    <row r="1068" spans="1:7" x14ac:dyDescent="0.35">
      <c r="A1068" t="s">
        <v>2466</v>
      </c>
      <c r="B1068" s="4" t="s">
        <v>839</v>
      </c>
      <c r="C1068">
        <v>4</v>
      </c>
      <c r="D1068" s="7">
        <v>5</v>
      </c>
      <c r="E1068">
        <v>1</v>
      </c>
      <c r="F1068" t="s">
        <v>1324</v>
      </c>
      <c r="G1068" t="s">
        <v>46</v>
      </c>
    </row>
    <row r="1069" spans="1:7" x14ac:dyDescent="0.35">
      <c r="A1069" t="s">
        <v>2467</v>
      </c>
      <c r="B1069" s="4" t="s">
        <v>839</v>
      </c>
      <c r="C1069">
        <v>5</v>
      </c>
      <c r="D1069" s="7">
        <v>6</v>
      </c>
      <c r="E1069">
        <v>1</v>
      </c>
      <c r="F1069" t="s">
        <v>1324</v>
      </c>
      <c r="G1069" t="s">
        <v>46</v>
      </c>
    </row>
    <row r="1070" spans="1:7" x14ac:dyDescent="0.35">
      <c r="A1070" t="s">
        <v>2468</v>
      </c>
      <c r="B1070" s="4" t="s">
        <v>839</v>
      </c>
      <c r="C1070">
        <v>6</v>
      </c>
      <c r="D1070" s="7">
        <v>7</v>
      </c>
      <c r="E1070">
        <v>1</v>
      </c>
      <c r="F1070" t="s">
        <v>1324</v>
      </c>
      <c r="G1070" t="s">
        <v>46</v>
      </c>
    </row>
    <row r="1071" spans="1:7" x14ac:dyDescent="0.35">
      <c r="A1071" t="s">
        <v>2469</v>
      </c>
      <c r="B1071" s="4" t="s">
        <v>839</v>
      </c>
      <c r="C1071">
        <v>9</v>
      </c>
      <c r="D1071" s="7">
        <v>6</v>
      </c>
      <c r="E1071">
        <v>1</v>
      </c>
      <c r="F1071" t="s">
        <v>1324</v>
      </c>
      <c r="G1071" t="s">
        <v>46</v>
      </c>
    </row>
    <row r="1072" spans="1:7" x14ac:dyDescent="0.35">
      <c r="A1072" t="s">
        <v>2470</v>
      </c>
      <c r="B1072" s="4" t="s">
        <v>2471</v>
      </c>
      <c r="C1072">
        <v>1</v>
      </c>
      <c r="D1072" s="7">
        <v>1</v>
      </c>
      <c r="E1072">
        <v>2</v>
      </c>
      <c r="F1072" t="s">
        <v>1321</v>
      </c>
      <c r="G1072" t="s">
        <v>54</v>
      </c>
    </row>
    <row r="1073" spans="1:7" x14ac:dyDescent="0.35">
      <c r="A1073" t="s">
        <v>2472</v>
      </c>
      <c r="B1073" s="4" t="s">
        <v>2471</v>
      </c>
      <c r="C1073">
        <v>4</v>
      </c>
      <c r="D1073" s="7">
        <v>10</v>
      </c>
      <c r="E1073">
        <v>1</v>
      </c>
      <c r="F1073" t="s">
        <v>1324</v>
      </c>
      <c r="G1073" t="s">
        <v>46</v>
      </c>
    </row>
    <row r="1074" spans="1:7" x14ac:dyDescent="0.35">
      <c r="A1074" t="s">
        <v>2473</v>
      </c>
      <c r="B1074" s="4" t="s">
        <v>2471</v>
      </c>
      <c r="C1074">
        <v>5</v>
      </c>
      <c r="D1074" s="7">
        <v>15</v>
      </c>
      <c r="E1074">
        <v>1</v>
      </c>
      <c r="F1074" t="s">
        <v>1324</v>
      </c>
      <c r="G1074" t="s">
        <v>46</v>
      </c>
    </row>
    <row r="1075" spans="1:7" x14ac:dyDescent="0.35">
      <c r="A1075" t="s">
        <v>2474</v>
      </c>
      <c r="B1075" s="4" t="s">
        <v>2471</v>
      </c>
      <c r="C1075">
        <v>6</v>
      </c>
      <c r="D1075" s="7">
        <v>14</v>
      </c>
      <c r="E1075">
        <v>1</v>
      </c>
      <c r="F1075" t="s">
        <v>1324</v>
      </c>
      <c r="G1075" t="s">
        <v>46</v>
      </c>
    </row>
    <row r="1076" spans="1:7" x14ac:dyDescent="0.35">
      <c r="A1076" t="s">
        <v>2475</v>
      </c>
      <c r="B1076" s="4" t="s">
        <v>2471</v>
      </c>
      <c r="C1076">
        <v>9</v>
      </c>
      <c r="D1076" s="7">
        <v>9</v>
      </c>
      <c r="E1076">
        <v>1</v>
      </c>
      <c r="F1076" t="s">
        <v>1324</v>
      </c>
      <c r="G1076" t="s">
        <v>46</v>
      </c>
    </row>
    <row r="1077" spans="1:7" x14ac:dyDescent="0.35">
      <c r="A1077" t="s">
        <v>2476</v>
      </c>
      <c r="B1077" s="4" t="s">
        <v>841</v>
      </c>
      <c r="C1077">
        <v>1</v>
      </c>
      <c r="D1077" s="7">
        <v>4</v>
      </c>
      <c r="E1077">
        <v>1</v>
      </c>
      <c r="F1077" t="s">
        <v>1321</v>
      </c>
      <c r="G1077" t="s">
        <v>46</v>
      </c>
    </row>
    <row r="1078" spans="1:7" x14ac:dyDescent="0.35">
      <c r="A1078" t="s">
        <v>2477</v>
      </c>
      <c r="B1078" s="4" t="s">
        <v>841</v>
      </c>
      <c r="C1078">
        <v>4</v>
      </c>
      <c r="D1078" s="7">
        <v>12</v>
      </c>
      <c r="E1078">
        <v>1</v>
      </c>
      <c r="F1078" t="s">
        <v>1324</v>
      </c>
      <c r="G1078" t="s">
        <v>46</v>
      </c>
    </row>
    <row r="1079" spans="1:7" x14ac:dyDescent="0.35">
      <c r="A1079" t="s">
        <v>2478</v>
      </c>
      <c r="B1079" s="4" t="s">
        <v>841</v>
      </c>
      <c r="C1079">
        <v>5</v>
      </c>
      <c r="D1079" s="7">
        <v>15</v>
      </c>
      <c r="E1079">
        <v>1</v>
      </c>
      <c r="F1079" t="s">
        <v>1324</v>
      </c>
      <c r="G1079" t="s">
        <v>46</v>
      </c>
    </row>
    <row r="1080" spans="1:7" x14ac:dyDescent="0.35">
      <c r="A1080" t="s">
        <v>2479</v>
      </c>
      <c r="B1080" s="4" t="s">
        <v>841</v>
      </c>
      <c r="C1080">
        <v>6</v>
      </c>
      <c r="D1080" s="7">
        <v>11</v>
      </c>
      <c r="E1080">
        <v>1</v>
      </c>
      <c r="F1080" t="s">
        <v>1324</v>
      </c>
      <c r="G1080" t="s">
        <v>46</v>
      </c>
    </row>
    <row r="1081" spans="1:7" x14ac:dyDescent="0.35">
      <c r="A1081" t="s">
        <v>2480</v>
      </c>
      <c r="B1081" s="4" t="s">
        <v>841</v>
      </c>
      <c r="C1081">
        <v>9</v>
      </c>
      <c r="D1081" s="7">
        <v>9</v>
      </c>
      <c r="E1081">
        <v>1</v>
      </c>
      <c r="F1081" t="s">
        <v>1324</v>
      </c>
      <c r="G1081" t="s">
        <v>46</v>
      </c>
    </row>
    <row r="1082" spans="1:7" x14ac:dyDescent="0.35">
      <c r="A1082" t="s">
        <v>2481</v>
      </c>
      <c r="B1082" s="4" t="s">
        <v>851</v>
      </c>
      <c r="C1082">
        <v>1</v>
      </c>
      <c r="D1082" s="7">
        <v>2</v>
      </c>
      <c r="E1082">
        <v>1</v>
      </c>
      <c r="F1082" t="s">
        <v>1321</v>
      </c>
      <c r="G1082" t="s">
        <v>46</v>
      </c>
    </row>
    <row r="1083" spans="1:7" x14ac:dyDescent="0.35">
      <c r="A1083" t="s">
        <v>2482</v>
      </c>
      <c r="B1083" s="4" t="s">
        <v>851</v>
      </c>
      <c r="C1083">
        <v>4</v>
      </c>
      <c r="D1083" s="7">
        <v>15</v>
      </c>
      <c r="E1083">
        <v>1</v>
      </c>
      <c r="F1083" t="s">
        <v>1324</v>
      </c>
      <c r="G1083" t="s">
        <v>46</v>
      </c>
    </row>
    <row r="1084" spans="1:7" x14ac:dyDescent="0.35">
      <c r="A1084" t="s">
        <v>2483</v>
      </c>
      <c r="B1084" s="4" t="s">
        <v>851</v>
      </c>
      <c r="C1084">
        <v>5</v>
      </c>
      <c r="D1084" s="7">
        <v>9</v>
      </c>
      <c r="E1084">
        <v>1</v>
      </c>
      <c r="F1084" t="s">
        <v>1324</v>
      </c>
      <c r="G1084" t="s">
        <v>46</v>
      </c>
    </row>
    <row r="1085" spans="1:7" x14ac:dyDescent="0.35">
      <c r="A1085" t="s">
        <v>2484</v>
      </c>
      <c r="B1085" s="4" t="s">
        <v>851</v>
      </c>
      <c r="C1085">
        <v>6</v>
      </c>
      <c r="D1085" s="7">
        <v>13</v>
      </c>
      <c r="E1085">
        <v>1</v>
      </c>
      <c r="F1085" t="s">
        <v>1324</v>
      </c>
      <c r="G1085" t="s">
        <v>46</v>
      </c>
    </row>
    <row r="1086" spans="1:7" x14ac:dyDescent="0.35">
      <c r="A1086" t="s">
        <v>2485</v>
      </c>
      <c r="B1086" s="4" t="s">
        <v>851</v>
      </c>
      <c r="C1086">
        <v>9</v>
      </c>
      <c r="D1086" s="7">
        <v>13</v>
      </c>
      <c r="E1086">
        <v>1</v>
      </c>
      <c r="F1086" t="s">
        <v>1324</v>
      </c>
      <c r="G1086" t="s">
        <v>46</v>
      </c>
    </row>
    <row r="1087" spans="1:7" x14ac:dyDescent="0.35">
      <c r="A1087" t="s">
        <v>2486</v>
      </c>
      <c r="B1087" s="4" t="s">
        <v>855</v>
      </c>
      <c r="C1087">
        <v>4</v>
      </c>
      <c r="D1087" s="7">
        <v>12</v>
      </c>
      <c r="E1087">
        <v>1</v>
      </c>
      <c r="F1087" t="s">
        <v>1324</v>
      </c>
      <c r="G1087" t="s">
        <v>46</v>
      </c>
    </row>
    <row r="1088" spans="1:7" x14ac:dyDescent="0.35">
      <c r="A1088" t="s">
        <v>2487</v>
      </c>
      <c r="B1088" s="4" t="s">
        <v>855</v>
      </c>
      <c r="C1088">
        <v>5</v>
      </c>
      <c r="D1088" s="7">
        <v>10</v>
      </c>
      <c r="E1088">
        <v>1</v>
      </c>
      <c r="F1088" t="s">
        <v>1324</v>
      </c>
      <c r="G1088" t="s">
        <v>46</v>
      </c>
    </row>
    <row r="1089" spans="1:7" x14ac:dyDescent="0.35">
      <c r="A1089" t="s">
        <v>2488</v>
      </c>
      <c r="B1089" s="4" t="s">
        <v>855</v>
      </c>
      <c r="C1089">
        <v>6</v>
      </c>
      <c r="D1089" s="7">
        <v>10</v>
      </c>
      <c r="E1089">
        <v>1</v>
      </c>
      <c r="F1089" t="s">
        <v>1324</v>
      </c>
      <c r="G1089" t="s">
        <v>46</v>
      </c>
    </row>
    <row r="1090" spans="1:7" x14ac:dyDescent="0.35">
      <c r="A1090" t="s">
        <v>2489</v>
      </c>
      <c r="B1090" s="4" t="s">
        <v>855</v>
      </c>
      <c r="C1090">
        <v>9</v>
      </c>
      <c r="D1090" s="7">
        <v>13</v>
      </c>
      <c r="E1090">
        <v>1</v>
      </c>
      <c r="F1090" t="s">
        <v>1324</v>
      </c>
      <c r="G1090" t="s">
        <v>46</v>
      </c>
    </row>
    <row r="1091" spans="1:7" x14ac:dyDescent="0.35">
      <c r="A1091" t="s">
        <v>2490</v>
      </c>
      <c r="B1091" s="4" t="s">
        <v>858</v>
      </c>
      <c r="C1091">
        <v>1</v>
      </c>
      <c r="D1091" s="7">
        <v>1</v>
      </c>
      <c r="E1091">
        <v>2</v>
      </c>
      <c r="F1091" t="s">
        <v>1321</v>
      </c>
      <c r="G1091" t="s">
        <v>54</v>
      </c>
    </row>
    <row r="1092" spans="1:7" x14ac:dyDescent="0.35">
      <c r="A1092" t="s">
        <v>2491</v>
      </c>
      <c r="B1092" s="4" t="s">
        <v>858</v>
      </c>
      <c r="C1092">
        <v>4</v>
      </c>
      <c r="D1092" s="7">
        <v>11</v>
      </c>
      <c r="E1092">
        <v>1</v>
      </c>
      <c r="F1092" t="s">
        <v>1324</v>
      </c>
      <c r="G1092" t="s">
        <v>46</v>
      </c>
    </row>
    <row r="1093" spans="1:7" x14ac:dyDescent="0.35">
      <c r="A1093" t="s">
        <v>2492</v>
      </c>
      <c r="B1093" s="4" t="s">
        <v>858</v>
      </c>
      <c r="C1093">
        <v>5</v>
      </c>
      <c r="D1093" s="7">
        <v>15</v>
      </c>
      <c r="E1093">
        <v>1</v>
      </c>
      <c r="F1093" t="s">
        <v>1324</v>
      </c>
      <c r="G1093" t="s">
        <v>46</v>
      </c>
    </row>
    <row r="1094" spans="1:7" x14ac:dyDescent="0.35">
      <c r="A1094" t="s">
        <v>2493</v>
      </c>
      <c r="B1094" s="4" t="s">
        <v>858</v>
      </c>
      <c r="C1094">
        <v>6</v>
      </c>
      <c r="D1094" s="7">
        <v>8</v>
      </c>
      <c r="E1094">
        <v>1</v>
      </c>
      <c r="F1094" t="s">
        <v>1324</v>
      </c>
      <c r="G1094" t="s">
        <v>46</v>
      </c>
    </row>
    <row r="1095" spans="1:7" x14ac:dyDescent="0.35">
      <c r="A1095" t="s">
        <v>2494</v>
      </c>
      <c r="B1095" s="4" t="s">
        <v>858</v>
      </c>
      <c r="C1095">
        <v>9</v>
      </c>
      <c r="D1095" s="7">
        <v>13</v>
      </c>
      <c r="E1095">
        <v>1</v>
      </c>
      <c r="F1095" t="s">
        <v>1324</v>
      </c>
      <c r="G1095" t="s">
        <v>46</v>
      </c>
    </row>
    <row r="1096" spans="1:7" x14ac:dyDescent="0.35">
      <c r="A1096" t="s">
        <v>2495</v>
      </c>
      <c r="B1096" s="4" t="s">
        <v>2496</v>
      </c>
      <c r="C1096">
        <v>4</v>
      </c>
      <c r="D1096" s="7">
        <v>5</v>
      </c>
      <c r="E1096">
        <v>1</v>
      </c>
      <c r="F1096" t="s">
        <v>1324</v>
      </c>
      <c r="G1096" t="s">
        <v>46</v>
      </c>
    </row>
    <row r="1097" spans="1:7" x14ac:dyDescent="0.35">
      <c r="A1097" t="s">
        <v>2497</v>
      </c>
      <c r="B1097" s="4" t="s">
        <v>2496</v>
      </c>
      <c r="C1097">
        <v>5</v>
      </c>
      <c r="D1097" s="7">
        <v>4</v>
      </c>
      <c r="E1097">
        <v>1</v>
      </c>
      <c r="F1097" t="s">
        <v>1324</v>
      </c>
      <c r="G1097" t="s">
        <v>46</v>
      </c>
    </row>
    <row r="1098" spans="1:7" x14ac:dyDescent="0.35">
      <c r="A1098" t="s">
        <v>2498</v>
      </c>
      <c r="B1098" s="4" t="s">
        <v>2496</v>
      </c>
      <c r="C1098">
        <v>6</v>
      </c>
      <c r="D1098" s="7">
        <v>4</v>
      </c>
      <c r="E1098">
        <v>1</v>
      </c>
      <c r="F1098" t="s">
        <v>1324</v>
      </c>
      <c r="G1098" t="s">
        <v>46</v>
      </c>
    </row>
    <row r="1099" spans="1:7" x14ac:dyDescent="0.35">
      <c r="A1099" t="s">
        <v>2499</v>
      </c>
      <c r="B1099" s="4" t="s">
        <v>2496</v>
      </c>
      <c r="C1099">
        <v>9</v>
      </c>
      <c r="D1099" s="7">
        <v>6</v>
      </c>
      <c r="E1099">
        <v>1</v>
      </c>
      <c r="F1099" t="s">
        <v>1324</v>
      </c>
      <c r="G1099" t="s">
        <v>46</v>
      </c>
    </row>
    <row r="1100" spans="1:7" x14ac:dyDescent="0.35">
      <c r="A1100" t="s">
        <v>2500</v>
      </c>
      <c r="B1100" s="4" t="s">
        <v>2501</v>
      </c>
      <c r="C1100">
        <v>1</v>
      </c>
      <c r="D1100" s="7">
        <v>2</v>
      </c>
      <c r="E1100">
        <v>1</v>
      </c>
      <c r="F1100" t="s">
        <v>1321</v>
      </c>
      <c r="G1100" t="s">
        <v>46</v>
      </c>
    </row>
    <row r="1101" spans="1:7" x14ac:dyDescent="0.35">
      <c r="A1101" t="s">
        <v>2502</v>
      </c>
      <c r="B1101" s="4" t="s">
        <v>2501</v>
      </c>
      <c r="C1101">
        <v>4</v>
      </c>
      <c r="D1101" s="7">
        <v>4</v>
      </c>
      <c r="E1101">
        <v>1</v>
      </c>
      <c r="F1101" t="s">
        <v>1324</v>
      </c>
      <c r="G1101" t="s">
        <v>46</v>
      </c>
    </row>
    <row r="1102" spans="1:7" x14ac:dyDescent="0.35">
      <c r="A1102" t="s">
        <v>2503</v>
      </c>
      <c r="B1102" s="4" t="s">
        <v>2501</v>
      </c>
      <c r="C1102">
        <v>5</v>
      </c>
      <c r="D1102" s="7">
        <v>5</v>
      </c>
      <c r="E1102">
        <v>1</v>
      </c>
      <c r="F1102" t="s">
        <v>1324</v>
      </c>
      <c r="G1102" t="s">
        <v>46</v>
      </c>
    </row>
    <row r="1103" spans="1:7" x14ac:dyDescent="0.35">
      <c r="A1103" t="s">
        <v>2504</v>
      </c>
      <c r="B1103" s="4" t="s">
        <v>2501</v>
      </c>
      <c r="C1103">
        <v>6</v>
      </c>
      <c r="D1103" s="7">
        <v>6</v>
      </c>
      <c r="E1103">
        <v>1</v>
      </c>
      <c r="F1103" t="s">
        <v>1324</v>
      </c>
      <c r="G1103" t="s">
        <v>46</v>
      </c>
    </row>
    <row r="1104" spans="1:7" x14ac:dyDescent="0.35">
      <c r="A1104" t="s">
        <v>2505</v>
      </c>
      <c r="B1104" s="4" t="s">
        <v>2501</v>
      </c>
      <c r="C1104">
        <v>9</v>
      </c>
      <c r="D1104" s="7">
        <v>4</v>
      </c>
      <c r="E1104">
        <v>1</v>
      </c>
      <c r="F1104" t="s">
        <v>1324</v>
      </c>
      <c r="G1104" t="s">
        <v>46</v>
      </c>
    </row>
    <row r="1105" spans="1:7" x14ac:dyDescent="0.35">
      <c r="A1105" t="s">
        <v>2506</v>
      </c>
      <c r="B1105" s="4" t="s">
        <v>860</v>
      </c>
      <c r="C1105">
        <v>4</v>
      </c>
      <c r="D1105" s="7">
        <v>10</v>
      </c>
      <c r="E1105">
        <v>1</v>
      </c>
      <c r="F1105" t="s">
        <v>1324</v>
      </c>
      <c r="G1105" t="s">
        <v>46</v>
      </c>
    </row>
    <row r="1106" spans="1:7" x14ac:dyDescent="0.35">
      <c r="A1106" t="s">
        <v>2507</v>
      </c>
      <c r="B1106" s="4" t="s">
        <v>860</v>
      </c>
      <c r="C1106">
        <v>5</v>
      </c>
      <c r="D1106" s="7">
        <v>10</v>
      </c>
      <c r="E1106">
        <v>1</v>
      </c>
      <c r="F1106" t="s">
        <v>1324</v>
      </c>
      <c r="G1106" t="s">
        <v>46</v>
      </c>
    </row>
    <row r="1107" spans="1:7" x14ac:dyDescent="0.35">
      <c r="A1107" t="s">
        <v>2508</v>
      </c>
      <c r="B1107" s="4" t="s">
        <v>860</v>
      </c>
      <c r="C1107">
        <v>6</v>
      </c>
      <c r="D1107" s="7">
        <v>14</v>
      </c>
      <c r="E1107">
        <v>1</v>
      </c>
      <c r="F1107" t="s">
        <v>1324</v>
      </c>
      <c r="G1107" t="s">
        <v>46</v>
      </c>
    </row>
    <row r="1108" spans="1:7" x14ac:dyDescent="0.35">
      <c r="A1108" t="s">
        <v>2509</v>
      </c>
      <c r="B1108" s="4" t="s">
        <v>860</v>
      </c>
      <c r="C1108">
        <v>9</v>
      </c>
      <c r="D1108" s="7">
        <v>8</v>
      </c>
      <c r="E1108">
        <v>1</v>
      </c>
      <c r="F1108" t="s">
        <v>1324</v>
      </c>
      <c r="G1108" t="s">
        <v>46</v>
      </c>
    </row>
    <row r="1109" spans="1:7" x14ac:dyDescent="0.35">
      <c r="A1109" t="s">
        <v>2510</v>
      </c>
      <c r="B1109" s="4" t="s">
        <v>868</v>
      </c>
      <c r="C1109">
        <v>4</v>
      </c>
      <c r="D1109" s="7">
        <v>10</v>
      </c>
      <c r="E1109">
        <v>1</v>
      </c>
      <c r="F1109" t="s">
        <v>1324</v>
      </c>
      <c r="G1109" t="s">
        <v>46</v>
      </c>
    </row>
    <row r="1110" spans="1:7" x14ac:dyDescent="0.35">
      <c r="A1110" t="s">
        <v>2511</v>
      </c>
      <c r="B1110" s="4" t="s">
        <v>868</v>
      </c>
      <c r="C1110">
        <v>5</v>
      </c>
      <c r="D1110" s="7">
        <v>13</v>
      </c>
      <c r="E1110">
        <v>1</v>
      </c>
      <c r="F1110" t="s">
        <v>1324</v>
      </c>
      <c r="G1110" t="s">
        <v>46</v>
      </c>
    </row>
    <row r="1111" spans="1:7" x14ac:dyDescent="0.35">
      <c r="A1111" t="s">
        <v>2512</v>
      </c>
      <c r="B1111" s="4" t="s">
        <v>868</v>
      </c>
      <c r="C1111">
        <v>6</v>
      </c>
      <c r="D1111" s="7">
        <v>11</v>
      </c>
      <c r="E1111">
        <v>1</v>
      </c>
      <c r="F1111" t="s">
        <v>1324</v>
      </c>
      <c r="G1111" t="s">
        <v>46</v>
      </c>
    </row>
    <row r="1112" spans="1:7" x14ac:dyDescent="0.35">
      <c r="A1112" t="s">
        <v>2513</v>
      </c>
      <c r="B1112" s="4" t="s">
        <v>868</v>
      </c>
      <c r="C1112">
        <v>9</v>
      </c>
      <c r="D1112" s="7">
        <v>13</v>
      </c>
      <c r="E1112">
        <v>1</v>
      </c>
      <c r="F1112" t="s">
        <v>1324</v>
      </c>
      <c r="G1112" t="s">
        <v>46</v>
      </c>
    </row>
    <row r="1113" spans="1:7" x14ac:dyDescent="0.35">
      <c r="A1113" t="s">
        <v>2514</v>
      </c>
      <c r="B1113" s="4" t="s">
        <v>872</v>
      </c>
      <c r="C1113">
        <v>4</v>
      </c>
      <c r="D1113" s="7">
        <v>9</v>
      </c>
      <c r="E1113">
        <v>1</v>
      </c>
      <c r="F1113" t="s">
        <v>1324</v>
      </c>
      <c r="G1113" t="s">
        <v>46</v>
      </c>
    </row>
    <row r="1114" spans="1:7" x14ac:dyDescent="0.35">
      <c r="A1114" t="s">
        <v>2515</v>
      </c>
      <c r="B1114" s="4" t="s">
        <v>872</v>
      </c>
      <c r="C1114">
        <v>5</v>
      </c>
      <c r="D1114" s="7">
        <v>12</v>
      </c>
      <c r="E1114">
        <v>1</v>
      </c>
      <c r="F1114" t="s">
        <v>1324</v>
      </c>
      <c r="G1114" t="s">
        <v>46</v>
      </c>
    </row>
    <row r="1115" spans="1:7" x14ac:dyDescent="0.35">
      <c r="A1115" t="s">
        <v>2516</v>
      </c>
      <c r="B1115" s="4" t="s">
        <v>872</v>
      </c>
      <c r="C1115">
        <v>6</v>
      </c>
      <c r="D1115" s="7">
        <v>11</v>
      </c>
      <c r="E1115">
        <v>1</v>
      </c>
      <c r="F1115" t="s">
        <v>1324</v>
      </c>
      <c r="G1115" t="s">
        <v>46</v>
      </c>
    </row>
    <row r="1116" spans="1:7" x14ac:dyDescent="0.35">
      <c r="A1116" t="s">
        <v>2517</v>
      </c>
      <c r="B1116" s="4" t="s">
        <v>872</v>
      </c>
      <c r="C1116">
        <v>9</v>
      </c>
      <c r="D1116" s="7">
        <v>12</v>
      </c>
      <c r="E1116">
        <v>1</v>
      </c>
      <c r="F1116" t="s">
        <v>1324</v>
      </c>
      <c r="G1116" t="s">
        <v>46</v>
      </c>
    </row>
    <row r="1117" spans="1:7" x14ac:dyDescent="0.35">
      <c r="A1117" t="s">
        <v>2518</v>
      </c>
      <c r="B1117" s="4" t="s">
        <v>876</v>
      </c>
      <c r="C1117">
        <v>1</v>
      </c>
      <c r="D1117" s="7">
        <v>4</v>
      </c>
      <c r="E1117">
        <v>1</v>
      </c>
      <c r="F1117" t="s">
        <v>1321</v>
      </c>
      <c r="G1117" t="s">
        <v>46</v>
      </c>
    </row>
    <row r="1118" spans="1:7" x14ac:dyDescent="0.35">
      <c r="A1118" t="s">
        <v>2519</v>
      </c>
      <c r="B1118" s="4" t="s">
        <v>876</v>
      </c>
      <c r="C1118">
        <v>4</v>
      </c>
      <c r="D1118" s="7">
        <v>10</v>
      </c>
      <c r="E1118">
        <v>1</v>
      </c>
      <c r="F1118" t="s">
        <v>1324</v>
      </c>
      <c r="G1118" t="s">
        <v>46</v>
      </c>
    </row>
    <row r="1119" spans="1:7" x14ac:dyDescent="0.35">
      <c r="A1119" t="s">
        <v>2520</v>
      </c>
      <c r="B1119" s="4" t="s">
        <v>876</v>
      </c>
      <c r="C1119">
        <v>5</v>
      </c>
      <c r="D1119" s="7">
        <v>10</v>
      </c>
      <c r="E1119">
        <v>1</v>
      </c>
      <c r="F1119" t="s">
        <v>1324</v>
      </c>
      <c r="G1119" t="s">
        <v>46</v>
      </c>
    </row>
    <row r="1120" spans="1:7" x14ac:dyDescent="0.35">
      <c r="A1120" t="s">
        <v>2521</v>
      </c>
      <c r="B1120" s="4" t="s">
        <v>876</v>
      </c>
      <c r="C1120">
        <v>6</v>
      </c>
      <c r="D1120" s="7">
        <v>10</v>
      </c>
      <c r="E1120">
        <v>1</v>
      </c>
      <c r="F1120" t="s">
        <v>1324</v>
      </c>
      <c r="G1120" t="s">
        <v>46</v>
      </c>
    </row>
    <row r="1121" spans="1:7" x14ac:dyDescent="0.35">
      <c r="A1121" t="s">
        <v>2522</v>
      </c>
      <c r="B1121" s="4" t="s">
        <v>876</v>
      </c>
      <c r="C1121">
        <v>9</v>
      </c>
      <c r="D1121" s="7">
        <v>13</v>
      </c>
      <c r="E1121">
        <v>1</v>
      </c>
      <c r="F1121" t="s">
        <v>1324</v>
      </c>
      <c r="G1121" t="s">
        <v>46</v>
      </c>
    </row>
    <row r="1122" spans="1:7" x14ac:dyDescent="0.35">
      <c r="A1122" t="s">
        <v>2523</v>
      </c>
      <c r="B1122" s="4" t="s">
        <v>878</v>
      </c>
      <c r="C1122">
        <v>4</v>
      </c>
      <c r="D1122" s="7">
        <v>8</v>
      </c>
      <c r="E1122">
        <v>1</v>
      </c>
      <c r="F1122" t="s">
        <v>1324</v>
      </c>
      <c r="G1122" t="s">
        <v>46</v>
      </c>
    </row>
    <row r="1123" spans="1:7" x14ac:dyDescent="0.35">
      <c r="A1123" t="s">
        <v>2524</v>
      </c>
      <c r="B1123" s="4" t="s">
        <v>878</v>
      </c>
      <c r="C1123">
        <v>5</v>
      </c>
      <c r="D1123" s="7">
        <v>9</v>
      </c>
      <c r="E1123">
        <v>1</v>
      </c>
      <c r="F1123" t="s">
        <v>1324</v>
      </c>
      <c r="G1123" t="s">
        <v>46</v>
      </c>
    </row>
    <row r="1124" spans="1:7" x14ac:dyDescent="0.35">
      <c r="A1124" t="s">
        <v>2525</v>
      </c>
      <c r="B1124" s="4" t="s">
        <v>878</v>
      </c>
      <c r="C1124">
        <v>6</v>
      </c>
      <c r="D1124" s="7">
        <v>8</v>
      </c>
      <c r="E1124">
        <v>1</v>
      </c>
      <c r="F1124" t="s">
        <v>1324</v>
      </c>
      <c r="G1124" t="s">
        <v>46</v>
      </c>
    </row>
    <row r="1125" spans="1:7" x14ac:dyDescent="0.35">
      <c r="A1125" t="s">
        <v>2526</v>
      </c>
      <c r="B1125" s="4" t="s">
        <v>878</v>
      </c>
      <c r="C1125">
        <v>9</v>
      </c>
      <c r="D1125" s="7">
        <v>12</v>
      </c>
      <c r="E1125">
        <v>1</v>
      </c>
      <c r="F1125" t="s">
        <v>1324</v>
      </c>
      <c r="G1125" t="s">
        <v>46</v>
      </c>
    </row>
    <row r="1126" spans="1:7" x14ac:dyDescent="0.35">
      <c r="A1126" t="s">
        <v>2527</v>
      </c>
      <c r="B1126" s="4" t="s">
        <v>881</v>
      </c>
      <c r="C1126">
        <v>4</v>
      </c>
      <c r="D1126" s="7">
        <v>4</v>
      </c>
      <c r="E1126">
        <v>1</v>
      </c>
      <c r="F1126" t="s">
        <v>1324</v>
      </c>
      <c r="G1126" t="s">
        <v>46</v>
      </c>
    </row>
    <row r="1127" spans="1:7" x14ac:dyDescent="0.35">
      <c r="A1127" t="s">
        <v>2528</v>
      </c>
      <c r="B1127" s="4" t="s">
        <v>881</v>
      </c>
      <c r="C1127">
        <v>5</v>
      </c>
      <c r="D1127" s="7">
        <v>7</v>
      </c>
      <c r="E1127">
        <v>1</v>
      </c>
      <c r="F1127" t="s">
        <v>1324</v>
      </c>
      <c r="G1127" t="s">
        <v>46</v>
      </c>
    </row>
    <row r="1128" spans="1:7" x14ac:dyDescent="0.35">
      <c r="A1128" t="s">
        <v>2529</v>
      </c>
      <c r="B1128" s="4" t="s">
        <v>881</v>
      </c>
      <c r="C1128">
        <v>6</v>
      </c>
      <c r="D1128" s="7">
        <v>6</v>
      </c>
      <c r="E1128">
        <v>1</v>
      </c>
      <c r="F1128" t="s">
        <v>1324</v>
      </c>
      <c r="G1128" t="s">
        <v>46</v>
      </c>
    </row>
    <row r="1129" spans="1:7" x14ac:dyDescent="0.35">
      <c r="A1129" t="s">
        <v>2530</v>
      </c>
      <c r="B1129" s="4" t="s">
        <v>881</v>
      </c>
      <c r="C1129">
        <v>9</v>
      </c>
      <c r="D1129" s="7">
        <v>6</v>
      </c>
      <c r="E1129">
        <v>1</v>
      </c>
      <c r="F1129" t="s">
        <v>1324</v>
      </c>
      <c r="G1129" t="s">
        <v>46</v>
      </c>
    </row>
    <row r="1130" spans="1:7" x14ac:dyDescent="0.35">
      <c r="A1130" t="s">
        <v>2531</v>
      </c>
      <c r="B1130" s="4" t="s">
        <v>884</v>
      </c>
      <c r="C1130">
        <v>4</v>
      </c>
      <c r="D1130" s="7">
        <v>6</v>
      </c>
      <c r="E1130">
        <v>1</v>
      </c>
      <c r="F1130" t="s">
        <v>1324</v>
      </c>
      <c r="G1130" t="s">
        <v>46</v>
      </c>
    </row>
    <row r="1131" spans="1:7" x14ac:dyDescent="0.35">
      <c r="A1131" t="s">
        <v>2532</v>
      </c>
      <c r="B1131" s="4" t="s">
        <v>884</v>
      </c>
      <c r="C1131">
        <v>5</v>
      </c>
      <c r="D1131" s="7">
        <v>7</v>
      </c>
      <c r="E1131">
        <v>1</v>
      </c>
      <c r="F1131" t="s">
        <v>1324</v>
      </c>
      <c r="G1131" t="s">
        <v>46</v>
      </c>
    </row>
    <row r="1132" spans="1:7" x14ac:dyDescent="0.35">
      <c r="A1132" t="s">
        <v>2533</v>
      </c>
      <c r="B1132" s="4" t="s">
        <v>884</v>
      </c>
      <c r="C1132">
        <v>6</v>
      </c>
      <c r="D1132" s="7">
        <v>4</v>
      </c>
      <c r="E1132">
        <v>1</v>
      </c>
      <c r="F1132" t="s">
        <v>1324</v>
      </c>
      <c r="G1132" t="s">
        <v>46</v>
      </c>
    </row>
    <row r="1133" spans="1:7" x14ac:dyDescent="0.35">
      <c r="A1133" t="s">
        <v>2534</v>
      </c>
      <c r="B1133" s="4" t="s">
        <v>884</v>
      </c>
      <c r="C1133">
        <v>9</v>
      </c>
      <c r="D1133" s="7">
        <v>4</v>
      </c>
      <c r="E1133">
        <v>1</v>
      </c>
      <c r="F1133" t="s">
        <v>1324</v>
      </c>
      <c r="G1133" t="s">
        <v>46</v>
      </c>
    </row>
    <row r="1134" spans="1:7" x14ac:dyDescent="0.35">
      <c r="A1134" t="s">
        <v>2535</v>
      </c>
      <c r="B1134" s="4" t="s">
        <v>2536</v>
      </c>
      <c r="C1134">
        <v>1</v>
      </c>
      <c r="D1134" s="7">
        <v>5</v>
      </c>
      <c r="E1134">
        <v>1</v>
      </c>
      <c r="F1134" t="s">
        <v>1321</v>
      </c>
      <c r="G1134" t="s">
        <v>46</v>
      </c>
    </row>
    <row r="1135" spans="1:7" x14ac:dyDescent="0.35">
      <c r="A1135" t="s">
        <v>2537</v>
      </c>
      <c r="B1135" s="4" t="s">
        <v>2536</v>
      </c>
      <c r="C1135">
        <v>4</v>
      </c>
      <c r="D1135" s="7">
        <v>10</v>
      </c>
      <c r="E1135">
        <v>1</v>
      </c>
      <c r="F1135" t="s">
        <v>1324</v>
      </c>
      <c r="G1135" t="s">
        <v>46</v>
      </c>
    </row>
    <row r="1136" spans="1:7" x14ac:dyDescent="0.35">
      <c r="A1136" t="s">
        <v>2538</v>
      </c>
      <c r="B1136" s="4" t="s">
        <v>2536</v>
      </c>
      <c r="C1136">
        <v>5</v>
      </c>
      <c r="D1136" s="7">
        <v>13</v>
      </c>
      <c r="E1136">
        <v>1</v>
      </c>
      <c r="F1136" t="s">
        <v>1324</v>
      </c>
      <c r="G1136" t="s">
        <v>46</v>
      </c>
    </row>
    <row r="1137" spans="1:7" x14ac:dyDescent="0.35">
      <c r="A1137" t="s">
        <v>2539</v>
      </c>
      <c r="B1137" s="4" t="s">
        <v>2536</v>
      </c>
      <c r="C1137">
        <v>6</v>
      </c>
      <c r="D1137" s="7">
        <v>13</v>
      </c>
      <c r="E1137">
        <v>1</v>
      </c>
      <c r="F1137" t="s">
        <v>1324</v>
      </c>
      <c r="G1137" t="s">
        <v>46</v>
      </c>
    </row>
    <row r="1138" spans="1:7" x14ac:dyDescent="0.35">
      <c r="A1138" t="s">
        <v>2540</v>
      </c>
      <c r="B1138" s="4" t="s">
        <v>2536</v>
      </c>
      <c r="C1138">
        <v>9</v>
      </c>
      <c r="D1138" s="7">
        <v>13</v>
      </c>
      <c r="E1138">
        <v>1</v>
      </c>
      <c r="F1138" t="s">
        <v>1324</v>
      </c>
      <c r="G1138" t="s">
        <v>46</v>
      </c>
    </row>
    <row r="1139" spans="1:7" x14ac:dyDescent="0.35">
      <c r="A1139" t="s">
        <v>2541</v>
      </c>
      <c r="B1139" s="4" t="s">
        <v>886</v>
      </c>
      <c r="C1139">
        <v>1</v>
      </c>
      <c r="D1139" s="7">
        <v>2</v>
      </c>
      <c r="E1139">
        <v>2</v>
      </c>
      <c r="F1139" t="s">
        <v>1321</v>
      </c>
      <c r="G1139" t="s">
        <v>54</v>
      </c>
    </row>
    <row r="1140" spans="1:7" x14ac:dyDescent="0.35">
      <c r="A1140" t="s">
        <v>2542</v>
      </c>
      <c r="B1140" s="4" t="s">
        <v>886</v>
      </c>
      <c r="C1140">
        <v>4</v>
      </c>
      <c r="D1140" s="7">
        <v>9</v>
      </c>
      <c r="E1140">
        <v>1</v>
      </c>
      <c r="F1140" t="s">
        <v>1324</v>
      </c>
      <c r="G1140" t="s">
        <v>46</v>
      </c>
    </row>
    <row r="1141" spans="1:7" x14ac:dyDescent="0.35">
      <c r="A1141" t="s">
        <v>2543</v>
      </c>
      <c r="B1141" s="4" t="s">
        <v>886</v>
      </c>
      <c r="C1141">
        <v>5</v>
      </c>
      <c r="D1141" s="7">
        <v>13</v>
      </c>
      <c r="E1141">
        <v>1</v>
      </c>
      <c r="F1141" t="s">
        <v>1324</v>
      </c>
      <c r="G1141" t="s">
        <v>46</v>
      </c>
    </row>
    <row r="1142" spans="1:7" x14ac:dyDescent="0.35">
      <c r="A1142" t="s">
        <v>2544</v>
      </c>
      <c r="B1142" s="4" t="s">
        <v>886</v>
      </c>
      <c r="C1142">
        <v>6</v>
      </c>
      <c r="D1142" s="7">
        <v>11</v>
      </c>
      <c r="E1142">
        <v>1</v>
      </c>
      <c r="F1142" t="s">
        <v>1324</v>
      </c>
      <c r="G1142" t="s">
        <v>46</v>
      </c>
    </row>
    <row r="1143" spans="1:7" x14ac:dyDescent="0.35">
      <c r="A1143" t="s">
        <v>2545</v>
      </c>
      <c r="B1143" s="4" t="s">
        <v>886</v>
      </c>
      <c r="C1143">
        <v>9</v>
      </c>
      <c r="D1143" s="7">
        <v>15</v>
      </c>
      <c r="E1143">
        <v>1</v>
      </c>
      <c r="F1143" t="s">
        <v>1324</v>
      </c>
      <c r="G1143" t="s">
        <v>46</v>
      </c>
    </row>
    <row r="1144" spans="1:7" x14ac:dyDescent="0.35">
      <c r="A1144" t="s">
        <v>2546</v>
      </c>
      <c r="B1144" s="4" t="s">
        <v>888</v>
      </c>
      <c r="C1144">
        <v>1</v>
      </c>
      <c r="D1144" s="7">
        <v>5</v>
      </c>
      <c r="E1144">
        <v>1</v>
      </c>
      <c r="F1144" t="s">
        <v>1321</v>
      </c>
      <c r="G1144" t="s">
        <v>46</v>
      </c>
    </row>
    <row r="1145" spans="1:7" x14ac:dyDescent="0.35">
      <c r="A1145" t="s">
        <v>2547</v>
      </c>
      <c r="B1145" s="4" t="s">
        <v>888</v>
      </c>
      <c r="C1145">
        <v>1</v>
      </c>
      <c r="D1145" s="7">
        <v>1</v>
      </c>
      <c r="E1145">
        <v>2</v>
      </c>
      <c r="F1145" t="s">
        <v>1321</v>
      </c>
      <c r="G1145" t="s">
        <v>54</v>
      </c>
    </row>
    <row r="1146" spans="1:7" x14ac:dyDescent="0.35">
      <c r="A1146" t="s">
        <v>2548</v>
      </c>
      <c r="B1146" s="4" t="s">
        <v>888</v>
      </c>
      <c r="C1146">
        <v>4</v>
      </c>
      <c r="D1146" s="7">
        <v>14</v>
      </c>
      <c r="E1146">
        <v>1</v>
      </c>
      <c r="F1146" t="s">
        <v>1324</v>
      </c>
      <c r="G1146" t="s">
        <v>46</v>
      </c>
    </row>
    <row r="1147" spans="1:7" x14ac:dyDescent="0.35">
      <c r="A1147" t="s">
        <v>2549</v>
      </c>
      <c r="B1147" s="4" t="s">
        <v>888</v>
      </c>
      <c r="C1147">
        <v>5</v>
      </c>
      <c r="D1147" s="7">
        <v>14</v>
      </c>
      <c r="E1147">
        <v>1</v>
      </c>
      <c r="F1147" t="s">
        <v>1324</v>
      </c>
      <c r="G1147" t="s">
        <v>46</v>
      </c>
    </row>
    <row r="1148" spans="1:7" x14ac:dyDescent="0.35">
      <c r="A1148" t="s">
        <v>2550</v>
      </c>
      <c r="B1148" s="4" t="s">
        <v>888</v>
      </c>
      <c r="C1148">
        <v>6</v>
      </c>
      <c r="D1148" s="7">
        <v>11</v>
      </c>
      <c r="E1148">
        <v>1</v>
      </c>
      <c r="F1148" t="s">
        <v>1324</v>
      </c>
      <c r="G1148" t="s">
        <v>46</v>
      </c>
    </row>
    <row r="1149" spans="1:7" x14ac:dyDescent="0.35">
      <c r="A1149" t="s">
        <v>2551</v>
      </c>
      <c r="B1149" s="4" t="s">
        <v>888</v>
      </c>
      <c r="C1149">
        <v>9</v>
      </c>
      <c r="D1149" s="7">
        <v>10</v>
      </c>
      <c r="E1149">
        <v>1</v>
      </c>
      <c r="F1149" t="s">
        <v>1324</v>
      </c>
      <c r="G1149" t="s">
        <v>46</v>
      </c>
    </row>
    <row r="1150" spans="1:7" x14ac:dyDescent="0.35">
      <c r="A1150" t="s">
        <v>2552</v>
      </c>
      <c r="B1150" s="4" t="s">
        <v>896</v>
      </c>
      <c r="C1150">
        <v>4</v>
      </c>
      <c r="D1150" s="7">
        <v>11</v>
      </c>
      <c r="E1150">
        <v>1</v>
      </c>
      <c r="F1150" t="s">
        <v>1324</v>
      </c>
      <c r="G1150" t="s">
        <v>46</v>
      </c>
    </row>
    <row r="1151" spans="1:7" x14ac:dyDescent="0.35">
      <c r="A1151" t="s">
        <v>2553</v>
      </c>
      <c r="B1151" s="4" t="s">
        <v>896</v>
      </c>
      <c r="C1151">
        <v>5</v>
      </c>
      <c r="D1151" s="7">
        <v>10</v>
      </c>
      <c r="E1151">
        <v>1</v>
      </c>
      <c r="F1151" t="s">
        <v>1324</v>
      </c>
      <c r="G1151" t="s">
        <v>46</v>
      </c>
    </row>
    <row r="1152" spans="1:7" x14ac:dyDescent="0.35">
      <c r="A1152" t="s">
        <v>2554</v>
      </c>
      <c r="B1152" s="4" t="s">
        <v>896</v>
      </c>
      <c r="C1152">
        <v>6</v>
      </c>
      <c r="D1152" s="7">
        <v>15</v>
      </c>
      <c r="E1152">
        <v>1</v>
      </c>
      <c r="F1152" t="s">
        <v>1324</v>
      </c>
      <c r="G1152" t="s">
        <v>46</v>
      </c>
    </row>
    <row r="1153" spans="1:7" x14ac:dyDescent="0.35">
      <c r="A1153" t="s">
        <v>2555</v>
      </c>
      <c r="B1153" s="4" t="s">
        <v>896</v>
      </c>
      <c r="C1153">
        <v>9</v>
      </c>
      <c r="D1153" s="7">
        <v>15</v>
      </c>
      <c r="E1153">
        <v>1</v>
      </c>
      <c r="F1153" t="s">
        <v>1324</v>
      </c>
      <c r="G1153" t="s">
        <v>46</v>
      </c>
    </row>
    <row r="1154" spans="1:7" x14ac:dyDescent="0.35">
      <c r="A1154" t="s">
        <v>2556</v>
      </c>
      <c r="B1154" s="4" t="s">
        <v>904</v>
      </c>
      <c r="C1154">
        <v>4</v>
      </c>
      <c r="D1154" s="7">
        <v>14</v>
      </c>
      <c r="E1154">
        <v>1</v>
      </c>
      <c r="F1154" t="s">
        <v>1324</v>
      </c>
      <c r="G1154" t="s">
        <v>46</v>
      </c>
    </row>
    <row r="1155" spans="1:7" x14ac:dyDescent="0.35">
      <c r="A1155" t="s">
        <v>2557</v>
      </c>
      <c r="B1155" s="4" t="s">
        <v>904</v>
      </c>
      <c r="C1155">
        <v>5</v>
      </c>
      <c r="D1155" s="7">
        <v>15</v>
      </c>
      <c r="E1155">
        <v>1</v>
      </c>
      <c r="F1155" t="s">
        <v>1324</v>
      </c>
      <c r="G1155" t="s">
        <v>46</v>
      </c>
    </row>
    <row r="1156" spans="1:7" x14ac:dyDescent="0.35">
      <c r="A1156" t="s">
        <v>2558</v>
      </c>
      <c r="B1156" s="4" t="s">
        <v>904</v>
      </c>
      <c r="C1156">
        <v>6</v>
      </c>
      <c r="D1156" s="7">
        <v>11</v>
      </c>
      <c r="E1156">
        <v>1</v>
      </c>
      <c r="F1156" t="s">
        <v>1324</v>
      </c>
      <c r="G1156" t="s">
        <v>46</v>
      </c>
    </row>
    <row r="1157" spans="1:7" x14ac:dyDescent="0.35">
      <c r="A1157" t="s">
        <v>2559</v>
      </c>
      <c r="B1157" s="4" t="s">
        <v>904</v>
      </c>
      <c r="C1157">
        <v>9</v>
      </c>
      <c r="D1157" s="7">
        <v>11</v>
      </c>
      <c r="E1157">
        <v>1</v>
      </c>
      <c r="F1157" t="s">
        <v>1324</v>
      </c>
      <c r="G1157" t="s">
        <v>46</v>
      </c>
    </row>
    <row r="1158" spans="1:7" x14ac:dyDescent="0.35">
      <c r="A1158" t="s">
        <v>2560</v>
      </c>
      <c r="B1158" s="4" t="s">
        <v>909</v>
      </c>
      <c r="C1158">
        <v>4</v>
      </c>
      <c r="D1158" s="7">
        <v>7</v>
      </c>
      <c r="E1158">
        <v>1</v>
      </c>
      <c r="F1158" t="s">
        <v>1324</v>
      </c>
      <c r="G1158" t="s">
        <v>46</v>
      </c>
    </row>
    <row r="1159" spans="1:7" x14ac:dyDescent="0.35">
      <c r="A1159" t="s">
        <v>2561</v>
      </c>
      <c r="B1159" s="4" t="s">
        <v>909</v>
      </c>
      <c r="C1159">
        <v>5</v>
      </c>
      <c r="D1159" s="7">
        <v>6</v>
      </c>
      <c r="E1159">
        <v>1</v>
      </c>
      <c r="F1159" t="s">
        <v>1324</v>
      </c>
      <c r="G1159" t="s">
        <v>46</v>
      </c>
    </row>
    <row r="1160" spans="1:7" x14ac:dyDescent="0.35">
      <c r="A1160" t="s">
        <v>2562</v>
      </c>
      <c r="B1160" s="4" t="s">
        <v>909</v>
      </c>
      <c r="C1160">
        <v>6</v>
      </c>
      <c r="D1160" s="7">
        <v>4</v>
      </c>
      <c r="E1160">
        <v>1</v>
      </c>
      <c r="F1160" t="s">
        <v>1324</v>
      </c>
      <c r="G1160" t="s">
        <v>46</v>
      </c>
    </row>
    <row r="1161" spans="1:7" x14ac:dyDescent="0.35">
      <c r="A1161" t="s">
        <v>2563</v>
      </c>
      <c r="B1161" s="4" t="s">
        <v>909</v>
      </c>
      <c r="C1161">
        <v>9</v>
      </c>
      <c r="D1161" s="7">
        <v>4</v>
      </c>
      <c r="E1161">
        <v>1</v>
      </c>
      <c r="F1161" t="s">
        <v>1324</v>
      </c>
      <c r="G1161" t="s">
        <v>46</v>
      </c>
    </row>
    <row r="1162" spans="1:7" x14ac:dyDescent="0.35">
      <c r="A1162" t="s">
        <v>2564</v>
      </c>
      <c r="B1162" s="4" t="s">
        <v>913</v>
      </c>
      <c r="C1162">
        <v>4</v>
      </c>
      <c r="D1162" s="7">
        <v>7</v>
      </c>
      <c r="E1162">
        <v>1</v>
      </c>
      <c r="F1162" t="s">
        <v>1324</v>
      </c>
      <c r="G1162" t="s">
        <v>46</v>
      </c>
    </row>
    <row r="1163" spans="1:7" x14ac:dyDescent="0.35">
      <c r="A1163" t="s">
        <v>2565</v>
      </c>
      <c r="B1163" s="4" t="s">
        <v>913</v>
      </c>
      <c r="C1163">
        <v>5</v>
      </c>
      <c r="D1163" s="7">
        <v>6</v>
      </c>
      <c r="E1163">
        <v>1</v>
      </c>
      <c r="F1163" t="s">
        <v>1324</v>
      </c>
      <c r="G1163" t="s">
        <v>46</v>
      </c>
    </row>
    <row r="1164" spans="1:7" x14ac:dyDescent="0.35">
      <c r="A1164" t="s">
        <v>2566</v>
      </c>
      <c r="B1164" s="4" t="s">
        <v>913</v>
      </c>
      <c r="C1164">
        <v>6</v>
      </c>
      <c r="D1164" s="7">
        <v>4</v>
      </c>
      <c r="E1164">
        <v>1</v>
      </c>
      <c r="F1164" t="s">
        <v>1324</v>
      </c>
      <c r="G1164" t="s">
        <v>46</v>
      </c>
    </row>
    <row r="1165" spans="1:7" x14ac:dyDescent="0.35">
      <c r="A1165" t="s">
        <v>2567</v>
      </c>
      <c r="B1165" s="4" t="s">
        <v>913</v>
      </c>
      <c r="C1165">
        <v>9</v>
      </c>
      <c r="D1165" s="7">
        <v>7</v>
      </c>
      <c r="E1165">
        <v>1</v>
      </c>
      <c r="F1165" t="s">
        <v>1324</v>
      </c>
      <c r="G1165" t="s">
        <v>46</v>
      </c>
    </row>
    <row r="1166" spans="1:7" x14ac:dyDescent="0.35">
      <c r="A1166" t="s">
        <v>2568</v>
      </c>
      <c r="B1166" s="4" t="s">
        <v>2569</v>
      </c>
      <c r="C1166">
        <v>1</v>
      </c>
      <c r="D1166" s="7">
        <v>3</v>
      </c>
      <c r="E1166">
        <v>1</v>
      </c>
      <c r="F1166" t="s">
        <v>1321</v>
      </c>
      <c r="G1166" t="s">
        <v>46</v>
      </c>
    </row>
    <row r="1167" spans="1:7" x14ac:dyDescent="0.35">
      <c r="A1167" t="s">
        <v>2570</v>
      </c>
      <c r="B1167" s="4" t="s">
        <v>2569</v>
      </c>
      <c r="C1167">
        <v>4</v>
      </c>
      <c r="D1167" s="7">
        <v>14</v>
      </c>
      <c r="E1167">
        <v>1</v>
      </c>
      <c r="F1167" t="s">
        <v>1324</v>
      </c>
      <c r="G1167" t="s">
        <v>46</v>
      </c>
    </row>
    <row r="1168" spans="1:7" x14ac:dyDescent="0.35">
      <c r="A1168" t="s">
        <v>2571</v>
      </c>
      <c r="B1168" s="4" t="s">
        <v>2569</v>
      </c>
      <c r="C1168">
        <v>5</v>
      </c>
      <c r="D1168" s="7">
        <v>15</v>
      </c>
      <c r="E1168">
        <v>1</v>
      </c>
      <c r="F1168" t="s">
        <v>1324</v>
      </c>
      <c r="G1168" t="s">
        <v>46</v>
      </c>
    </row>
    <row r="1169" spans="1:7" x14ac:dyDescent="0.35">
      <c r="A1169" t="s">
        <v>2572</v>
      </c>
      <c r="B1169" s="4" t="s">
        <v>2569</v>
      </c>
      <c r="C1169">
        <v>6</v>
      </c>
      <c r="D1169" s="7">
        <v>12</v>
      </c>
      <c r="E1169">
        <v>1</v>
      </c>
      <c r="F1169" t="s">
        <v>1324</v>
      </c>
      <c r="G1169" t="s">
        <v>46</v>
      </c>
    </row>
    <row r="1170" spans="1:7" x14ac:dyDescent="0.35">
      <c r="A1170" t="s">
        <v>2573</v>
      </c>
      <c r="B1170" s="4" t="s">
        <v>2569</v>
      </c>
      <c r="C1170">
        <v>9</v>
      </c>
      <c r="D1170" s="7">
        <v>9</v>
      </c>
      <c r="E1170">
        <v>1</v>
      </c>
      <c r="F1170" t="s">
        <v>1324</v>
      </c>
      <c r="G1170" t="s">
        <v>46</v>
      </c>
    </row>
    <row r="1171" spans="1:7" x14ac:dyDescent="0.35">
      <c r="A1171" t="s">
        <v>2574</v>
      </c>
      <c r="B1171" s="4" t="s">
        <v>915</v>
      </c>
      <c r="C1171">
        <v>1</v>
      </c>
      <c r="D1171" s="7">
        <v>2</v>
      </c>
      <c r="E1171">
        <v>1</v>
      </c>
      <c r="F1171" t="s">
        <v>1321</v>
      </c>
      <c r="G1171" t="s">
        <v>46</v>
      </c>
    </row>
    <row r="1172" spans="1:7" x14ac:dyDescent="0.35">
      <c r="A1172" t="s">
        <v>2575</v>
      </c>
      <c r="B1172" s="4" t="s">
        <v>915</v>
      </c>
      <c r="C1172">
        <v>4</v>
      </c>
      <c r="D1172" s="7">
        <v>13</v>
      </c>
      <c r="E1172">
        <v>1</v>
      </c>
      <c r="F1172" t="s">
        <v>1324</v>
      </c>
      <c r="G1172" t="s">
        <v>46</v>
      </c>
    </row>
    <row r="1173" spans="1:7" x14ac:dyDescent="0.35">
      <c r="A1173" t="s">
        <v>2576</v>
      </c>
      <c r="B1173" s="4" t="s">
        <v>915</v>
      </c>
      <c r="C1173">
        <v>5</v>
      </c>
      <c r="D1173" s="7">
        <v>13</v>
      </c>
      <c r="E1173">
        <v>1</v>
      </c>
      <c r="F1173" t="s">
        <v>1324</v>
      </c>
      <c r="G1173" t="s">
        <v>46</v>
      </c>
    </row>
    <row r="1174" spans="1:7" x14ac:dyDescent="0.35">
      <c r="A1174" t="s">
        <v>2577</v>
      </c>
      <c r="B1174" s="4" t="s">
        <v>915</v>
      </c>
      <c r="C1174">
        <v>6</v>
      </c>
      <c r="D1174" s="7">
        <v>10</v>
      </c>
      <c r="E1174">
        <v>1</v>
      </c>
      <c r="F1174" t="s">
        <v>1324</v>
      </c>
      <c r="G1174" t="s">
        <v>46</v>
      </c>
    </row>
    <row r="1175" spans="1:7" x14ac:dyDescent="0.35">
      <c r="A1175" t="s">
        <v>2578</v>
      </c>
      <c r="B1175" s="4" t="s">
        <v>915</v>
      </c>
      <c r="C1175">
        <v>9</v>
      </c>
      <c r="D1175" s="7">
        <v>11</v>
      </c>
      <c r="E1175">
        <v>1</v>
      </c>
      <c r="F1175" t="s">
        <v>1324</v>
      </c>
      <c r="G1175" t="s">
        <v>46</v>
      </c>
    </row>
    <row r="1176" spans="1:7" x14ac:dyDescent="0.35">
      <c r="A1176" t="s">
        <v>2579</v>
      </c>
      <c r="B1176" s="4" t="s">
        <v>2580</v>
      </c>
      <c r="C1176">
        <v>4</v>
      </c>
      <c r="D1176" s="7">
        <v>8</v>
      </c>
      <c r="E1176">
        <v>1</v>
      </c>
      <c r="F1176" t="s">
        <v>1324</v>
      </c>
      <c r="G1176" t="s">
        <v>46</v>
      </c>
    </row>
    <row r="1177" spans="1:7" x14ac:dyDescent="0.35">
      <c r="A1177" t="s">
        <v>2581</v>
      </c>
      <c r="B1177" s="4" t="s">
        <v>2580</v>
      </c>
      <c r="C1177">
        <v>5</v>
      </c>
      <c r="D1177" s="7">
        <v>10</v>
      </c>
      <c r="E1177">
        <v>1</v>
      </c>
      <c r="F1177" t="s">
        <v>1324</v>
      </c>
      <c r="G1177" t="s">
        <v>46</v>
      </c>
    </row>
    <row r="1178" spans="1:7" x14ac:dyDescent="0.35">
      <c r="A1178" t="s">
        <v>2582</v>
      </c>
      <c r="B1178" s="4" t="s">
        <v>2580</v>
      </c>
      <c r="C1178">
        <v>6</v>
      </c>
      <c r="D1178" s="7">
        <v>13</v>
      </c>
      <c r="E1178">
        <v>1</v>
      </c>
      <c r="F1178" t="s">
        <v>1324</v>
      </c>
      <c r="G1178" t="s">
        <v>46</v>
      </c>
    </row>
    <row r="1179" spans="1:7" x14ac:dyDescent="0.35">
      <c r="A1179" t="s">
        <v>2583</v>
      </c>
      <c r="B1179" s="4" t="s">
        <v>2580</v>
      </c>
      <c r="C1179">
        <v>9</v>
      </c>
      <c r="D1179" s="7">
        <v>15</v>
      </c>
      <c r="E1179">
        <v>1</v>
      </c>
      <c r="F1179" t="s">
        <v>1324</v>
      </c>
      <c r="G1179" t="s">
        <v>46</v>
      </c>
    </row>
    <row r="1180" spans="1:7" x14ac:dyDescent="0.35">
      <c r="A1180" t="s">
        <v>2584</v>
      </c>
      <c r="B1180" s="4" t="s">
        <v>2585</v>
      </c>
      <c r="C1180">
        <v>1</v>
      </c>
      <c r="D1180" s="7">
        <v>3</v>
      </c>
      <c r="E1180">
        <v>2</v>
      </c>
      <c r="F1180" t="s">
        <v>1321</v>
      </c>
      <c r="G1180" t="s">
        <v>54</v>
      </c>
    </row>
    <row r="1181" spans="1:7" x14ac:dyDescent="0.35">
      <c r="A1181" t="s">
        <v>2586</v>
      </c>
      <c r="B1181" s="4" t="s">
        <v>2585</v>
      </c>
      <c r="C1181">
        <v>4</v>
      </c>
      <c r="D1181" s="7">
        <v>13</v>
      </c>
      <c r="E1181">
        <v>1</v>
      </c>
      <c r="F1181" t="s">
        <v>1324</v>
      </c>
      <c r="G1181" t="s">
        <v>46</v>
      </c>
    </row>
    <row r="1182" spans="1:7" x14ac:dyDescent="0.35">
      <c r="A1182" t="s">
        <v>2587</v>
      </c>
      <c r="B1182" s="4" t="s">
        <v>2585</v>
      </c>
      <c r="C1182">
        <v>5</v>
      </c>
      <c r="D1182" s="7">
        <v>10</v>
      </c>
      <c r="E1182">
        <v>1</v>
      </c>
      <c r="F1182" t="s">
        <v>1324</v>
      </c>
      <c r="G1182" t="s">
        <v>46</v>
      </c>
    </row>
    <row r="1183" spans="1:7" x14ac:dyDescent="0.35">
      <c r="A1183" t="s">
        <v>2588</v>
      </c>
      <c r="B1183" s="4" t="s">
        <v>2585</v>
      </c>
      <c r="C1183">
        <v>6</v>
      </c>
      <c r="D1183" s="7">
        <v>14</v>
      </c>
      <c r="E1183">
        <v>1</v>
      </c>
      <c r="F1183" t="s">
        <v>1324</v>
      </c>
      <c r="G1183" t="s">
        <v>46</v>
      </c>
    </row>
    <row r="1184" spans="1:7" x14ac:dyDescent="0.35">
      <c r="A1184" t="s">
        <v>2589</v>
      </c>
      <c r="B1184" s="4" t="s">
        <v>2585</v>
      </c>
      <c r="C1184">
        <v>9</v>
      </c>
      <c r="D1184" s="7">
        <v>12</v>
      </c>
      <c r="E1184">
        <v>1</v>
      </c>
      <c r="F1184" t="s">
        <v>1324</v>
      </c>
      <c r="G1184" t="s">
        <v>46</v>
      </c>
    </row>
    <row r="1185" spans="1:7" x14ac:dyDescent="0.35">
      <c r="A1185" t="s">
        <v>2590</v>
      </c>
      <c r="B1185" s="4" t="s">
        <v>2591</v>
      </c>
      <c r="C1185">
        <v>4</v>
      </c>
      <c r="D1185" s="7">
        <v>15</v>
      </c>
      <c r="E1185">
        <v>1</v>
      </c>
      <c r="F1185" t="s">
        <v>1324</v>
      </c>
      <c r="G1185" t="s">
        <v>46</v>
      </c>
    </row>
    <row r="1186" spans="1:7" x14ac:dyDescent="0.35">
      <c r="A1186" t="s">
        <v>2592</v>
      </c>
      <c r="B1186" s="4" t="s">
        <v>2591</v>
      </c>
      <c r="C1186">
        <v>5</v>
      </c>
      <c r="D1186" s="7">
        <v>12</v>
      </c>
      <c r="E1186">
        <v>1</v>
      </c>
      <c r="F1186" t="s">
        <v>1324</v>
      </c>
      <c r="G1186" t="s">
        <v>46</v>
      </c>
    </row>
    <row r="1187" spans="1:7" x14ac:dyDescent="0.35">
      <c r="A1187" t="s">
        <v>2593</v>
      </c>
      <c r="B1187" s="4" t="s">
        <v>2591</v>
      </c>
      <c r="C1187">
        <v>6</v>
      </c>
      <c r="D1187" s="7">
        <v>15</v>
      </c>
      <c r="E1187">
        <v>1</v>
      </c>
      <c r="F1187" t="s">
        <v>1324</v>
      </c>
      <c r="G1187" t="s">
        <v>46</v>
      </c>
    </row>
    <row r="1188" spans="1:7" x14ac:dyDescent="0.35">
      <c r="A1188" t="s">
        <v>2594</v>
      </c>
      <c r="B1188" s="4" t="s">
        <v>2591</v>
      </c>
      <c r="C1188">
        <v>9</v>
      </c>
      <c r="D1188" s="7">
        <v>8</v>
      </c>
      <c r="E1188">
        <v>1</v>
      </c>
      <c r="F1188" t="s">
        <v>1324</v>
      </c>
      <c r="G1188" t="s">
        <v>46</v>
      </c>
    </row>
    <row r="1189" spans="1:7" x14ac:dyDescent="0.35">
      <c r="A1189" t="s">
        <v>2595</v>
      </c>
      <c r="B1189" s="4" t="s">
        <v>2596</v>
      </c>
      <c r="C1189">
        <v>4</v>
      </c>
      <c r="D1189" s="7">
        <v>4</v>
      </c>
      <c r="E1189">
        <v>1</v>
      </c>
      <c r="F1189" t="s">
        <v>1324</v>
      </c>
      <c r="G1189" t="s">
        <v>46</v>
      </c>
    </row>
    <row r="1190" spans="1:7" x14ac:dyDescent="0.35">
      <c r="A1190" t="s">
        <v>2597</v>
      </c>
      <c r="B1190" s="4" t="s">
        <v>2596</v>
      </c>
      <c r="C1190">
        <v>5</v>
      </c>
      <c r="D1190" s="7">
        <v>7</v>
      </c>
      <c r="E1190">
        <v>1</v>
      </c>
      <c r="F1190" t="s">
        <v>1324</v>
      </c>
      <c r="G1190" t="s">
        <v>46</v>
      </c>
    </row>
    <row r="1191" spans="1:7" x14ac:dyDescent="0.35">
      <c r="A1191" t="s">
        <v>2598</v>
      </c>
      <c r="B1191" s="4" t="s">
        <v>2596</v>
      </c>
      <c r="C1191">
        <v>6</v>
      </c>
      <c r="D1191" s="7">
        <v>6</v>
      </c>
      <c r="E1191">
        <v>1</v>
      </c>
      <c r="F1191" t="s">
        <v>1324</v>
      </c>
      <c r="G1191" t="s">
        <v>46</v>
      </c>
    </row>
    <row r="1192" spans="1:7" x14ac:dyDescent="0.35">
      <c r="A1192" t="s">
        <v>2599</v>
      </c>
      <c r="B1192" s="4" t="s">
        <v>2596</v>
      </c>
      <c r="C1192">
        <v>9</v>
      </c>
      <c r="D1192" s="7">
        <v>5</v>
      </c>
      <c r="E1192">
        <v>1</v>
      </c>
      <c r="F1192" t="s">
        <v>1324</v>
      </c>
      <c r="G1192" t="s">
        <v>46</v>
      </c>
    </row>
    <row r="1193" spans="1:7" x14ac:dyDescent="0.35">
      <c r="A1193" t="s">
        <v>2600</v>
      </c>
      <c r="B1193" s="4" t="s">
        <v>2601</v>
      </c>
      <c r="C1193">
        <v>4</v>
      </c>
      <c r="D1193" s="7">
        <v>7</v>
      </c>
      <c r="E1193">
        <v>1</v>
      </c>
      <c r="F1193" t="s">
        <v>1324</v>
      </c>
      <c r="G1193" t="s">
        <v>46</v>
      </c>
    </row>
    <row r="1194" spans="1:7" x14ac:dyDescent="0.35">
      <c r="A1194" t="s">
        <v>2602</v>
      </c>
      <c r="B1194" s="4" t="s">
        <v>2601</v>
      </c>
      <c r="C1194">
        <v>5</v>
      </c>
      <c r="D1194" s="7">
        <v>5</v>
      </c>
      <c r="E1194">
        <v>1</v>
      </c>
      <c r="F1194" t="s">
        <v>1324</v>
      </c>
      <c r="G1194" t="s">
        <v>46</v>
      </c>
    </row>
    <row r="1195" spans="1:7" x14ac:dyDescent="0.35">
      <c r="A1195" t="s">
        <v>2603</v>
      </c>
      <c r="B1195" s="4" t="s">
        <v>2601</v>
      </c>
      <c r="C1195">
        <v>6</v>
      </c>
      <c r="D1195" s="7">
        <v>5</v>
      </c>
      <c r="E1195">
        <v>1</v>
      </c>
      <c r="F1195" t="s">
        <v>1324</v>
      </c>
      <c r="G1195" t="s">
        <v>46</v>
      </c>
    </row>
    <row r="1196" spans="1:7" x14ac:dyDescent="0.35">
      <c r="A1196" t="s">
        <v>2604</v>
      </c>
      <c r="B1196" s="4" t="s">
        <v>2601</v>
      </c>
      <c r="C1196">
        <v>9</v>
      </c>
      <c r="D1196" s="7">
        <v>4</v>
      </c>
      <c r="E1196">
        <v>1</v>
      </c>
      <c r="F1196" t="s">
        <v>1324</v>
      </c>
      <c r="G1196" t="s">
        <v>46</v>
      </c>
    </row>
    <row r="1197" spans="1:7" x14ac:dyDescent="0.35">
      <c r="A1197" t="s">
        <v>2605</v>
      </c>
      <c r="B1197" s="4" t="s">
        <v>2606</v>
      </c>
      <c r="C1197">
        <v>4</v>
      </c>
      <c r="D1197" s="7">
        <v>15</v>
      </c>
      <c r="E1197">
        <v>1</v>
      </c>
      <c r="F1197" t="s">
        <v>1324</v>
      </c>
      <c r="G1197" t="s">
        <v>46</v>
      </c>
    </row>
    <row r="1198" spans="1:7" x14ac:dyDescent="0.35">
      <c r="A1198" t="s">
        <v>2607</v>
      </c>
      <c r="B1198" s="4" t="s">
        <v>2606</v>
      </c>
      <c r="C1198">
        <v>5</v>
      </c>
      <c r="D1198" s="7">
        <v>13</v>
      </c>
      <c r="E1198">
        <v>1</v>
      </c>
      <c r="F1198" t="s">
        <v>1324</v>
      </c>
      <c r="G1198" t="s">
        <v>46</v>
      </c>
    </row>
    <row r="1199" spans="1:7" x14ac:dyDescent="0.35">
      <c r="A1199" t="s">
        <v>2608</v>
      </c>
      <c r="B1199" s="4" t="s">
        <v>2606</v>
      </c>
      <c r="C1199">
        <v>6</v>
      </c>
      <c r="D1199" s="7">
        <v>14</v>
      </c>
      <c r="E1199">
        <v>1</v>
      </c>
      <c r="F1199" t="s">
        <v>1324</v>
      </c>
      <c r="G1199" t="s">
        <v>46</v>
      </c>
    </row>
    <row r="1200" spans="1:7" x14ac:dyDescent="0.35">
      <c r="A1200" t="s">
        <v>2609</v>
      </c>
      <c r="B1200" s="4" t="s">
        <v>2606</v>
      </c>
      <c r="C1200">
        <v>9</v>
      </c>
      <c r="D1200" s="7">
        <v>10</v>
      </c>
      <c r="E1200">
        <v>1</v>
      </c>
      <c r="F1200" t="s">
        <v>1324</v>
      </c>
      <c r="G1200" t="s">
        <v>46</v>
      </c>
    </row>
    <row r="1201" spans="1:7" x14ac:dyDescent="0.35">
      <c r="A1201" t="s">
        <v>2610</v>
      </c>
      <c r="B1201" s="4" t="s">
        <v>2611</v>
      </c>
      <c r="C1201">
        <v>1</v>
      </c>
      <c r="D1201" s="7">
        <v>3</v>
      </c>
      <c r="E1201">
        <v>2</v>
      </c>
      <c r="F1201" t="s">
        <v>1321</v>
      </c>
      <c r="G1201" t="s">
        <v>54</v>
      </c>
    </row>
    <row r="1202" spans="1:7" x14ac:dyDescent="0.35">
      <c r="A1202" t="s">
        <v>2612</v>
      </c>
      <c r="B1202" s="4" t="s">
        <v>2611</v>
      </c>
      <c r="C1202">
        <v>4</v>
      </c>
      <c r="D1202" s="7">
        <v>15</v>
      </c>
      <c r="E1202">
        <v>1</v>
      </c>
      <c r="F1202" t="s">
        <v>1324</v>
      </c>
      <c r="G1202" t="s">
        <v>46</v>
      </c>
    </row>
    <row r="1203" spans="1:7" x14ac:dyDescent="0.35">
      <c r="A1203" t="s">
        <v>2613</v>
      </c>
      <c r="B1203" s="4" t="s">
        <v>2611</v>
      </c>
      <c r="C1203">
        <v>5</v>
      </c>
      <c r="D1203" s="7">
        <v>8</v>
      </c>
      <c r="E1203">
        <v>1</v>
      </c>
      <c r="F1203" t="s">
        <v>1324</v>
      </c>
      <c r="G1203" t="s">
        <v>46</v>
      </c>
    </row>
    <row r="1204" spans="1:7" x14ac:dyDescent="0.35">
      <c r="A1204" t="s">
        <v>2614</v>
      </c>
      <c r="B1204" s="4" t="s">
        <v>2611</v>
      </c>
      <c r="C1204">
        <v>6</v>
      </c>
      <c r="D1204" s="7">
        <v>10</v>
      </c>
      <c r="E1204">
        <v>1</v>
      </c>
      <c r="F1204" t="s">
        <v>1324</v>
      </c>
      <c r="G1204" t="s">
        <v>46</v>
      </c>
    </row>
    <row r="1205" spans="1:7" x14ac:dyDescent="0.35">
      <c r="A1205" t="s">
        <v>2615</v>
      </c>
      <c r="B1205" s="4" t="s">
        <v>2611</v>
      </c>
      <c r="C1205">
        <v>9</v>
      </c>
      <c r="D1205" s="7">
        <v>11</v>
      </c>
      <c r="E1205">
        <v>1</v>
      </c>
      <c r="F1205" t="s">
        <v>1324</v>
      </c>
      <c r="G1205" t="s">
        <v>46</v>
      </c>
    </row>
    <row r="1206" spans="1:7" x14ac:dyDescent="0.35">
      <c r="A1206" t="s">
        <v>2616</v>
      </c>
      <c r="B1206" s="4" t="s">
        <v>2617</v>
      </c>
      <c r="C1206">
        <v>4</v>
      </c>
      <c r="D1206" s="7">
        <v>14</v>
      </c>
      <c r="E1206">
        <v>1</v>
      </c>
      <c r="F1206" t="s">
        <v>1324</v>
      </c>
      <c r="G1206" t="s">
        <v>46</v>
      </c>
    </row>
    <row r="1207" spans="1:7" x14ac:dyDescent="0.35">
      <c r="A1207" t="s">
        <v>2618</v>
      </c>
      <c r="B1207" s="4" t="s">
        <v>2617</v>
      </c>
      <c r="C1207">
        <v>5</v>
      </c>
      <c r="D1207" s="7">
        <v>13</v>
      </c>
      <c r="E1207">
        <v>1</v>
      </c>
      <c r="F1207" t="s">
        <v>1324</v>
      </c>
      <c r="G1207" t="s">
        <v>46</v>
      </c>
    </row>
    <row r="1208" spans="1:7" x14ac:dyDescent="0.35">
      <c r="A1208" t="s">
        <v>2619</v>
      </c>
      <c r="B1208" s="4" t="s">
        <v>2617</v>
      </c>
      <c r="C1208">
        <v>6</v>
      </c>
      <c r="D1208" s="7">
        <v>10</v>
      </c>
      <c r="E1208">
        <v>1</v>
      </c>
      <c r="F1208" t="s">
        <v>1324</v>
      </c>
      <c r="G1208" t="s">
        <v>46</v>
      </c>
    </row>
    <row r="1209" spans="1:7" x14ac:dyDescent="0.35">
      <c r="A1209" t="s">
        <v>2620</v>
      </c>
      <c r="B1209" s="4" t="s">
        <v>2617</v>
      </c>
      <c r="C1209">
        <v>9</v>
      </c>
      <c r="D1209" s="7">
        <v>15</v>
      </c>
      <c r="E1209">
        <v>1</v>
      </c>
      <c r="F1209" t="s">
        <v>1324</v>
      </c>
      <c r="G1209" t="s">
        <v>46</v>
      </c>
    </row>
    <row r="1210" spans="1:7" x14ac:dyDescent="0.35">
      <c r="A1210" t="s">
        <v>2621</v>
      </c>
      <c r="B1210" s="4" t="s">
        <v>2622</v>
      </c>
      <c r="C1210">
        <v>4</v>
      </c>
      <c r="D1210" s="7">
        <v>12</v>
      </c>
      <c r="E1210">
        <v>1</v>
      </c>
      <c r="F1210" t="s">
        <v>1324</v>
      </c>
      <c r="G1210" t="s">
        <v>46</v>
      </c>
    </row>
    <row r="1211" spans="1:7" x14ac:dyDescent="0.35">
      <c r="A1211" t="s">
        <v>2623</v>
      </c>
      <c r="B1211" s="4" t="s">
        <v>2622</v>
      </c>
      <c r="C1211">
        <v>5</v>
      </c>
      <c r="D1211" s="7">
        <v>15</v>
      </c>
      <c r="E1211">
        <v>1</v>
      </c>
      <c r="F1211" t="s">
        <v>1324</v>
      </c>
      <c r="G1211" t="s">
        <v>46</v>
      </c>
    </row>
    <row r="1212" spans="1:7" x14ac:dyDescent="0.35">
      <c r="A1212" t="s">
        <v>2624</v>
      </c>
      <c r="B1212" s="4" t="s">
        <v>2622</v>
      </c>
      <c r="C1212">
        <v>6</v>
      </c>
      <c r="D1212" s="7">
        <v>11</v>
      </c>
      <c r="E1212">
        <v>1</v>
      </c>
      <c r="F1212" t="s">
        <v>1324</v>
      </c>
      <c r="G1212" t="s">
        <v>46</v>
      </c>
    </row>
    <row r="1213" spans="1:7" x14ac:dyDescent="0.35">
      <c r="A1213" t="s">
        <v>2625</v>
      </c>
      <c r="B1213" s="4" t="s">
        <v>2622</v>
      </c>
      <c r="C1213">
        <v>9</v>
      </c>
      <c r="D1213" s="7">
        <v>11</v>
      </c>
      <c r="E1213">
        <v>1</v>
      </c>
      <c r="F1213" t="s">
        <v>1324</v>
      </c>
      <c r="G1213" t="s">
        <v>46</v>
      </c>
    </row>
    <row r="1214" spans="1:7" x14ac:dyDescent="0.35">
      <c r="A1214" t="s">
        <v>2626</v>
      </c>
      <c r="B1214" s="4" t="s">
        <v>2627</v>
      </c>
      <c r="C1214">
        <v>1</v>
      </c>
      <c r="D1214" s="7">
        <v>4</v>
      </c>
      <c r="E1214">
        <v>1</v>
      </c>
      <c r="F1214" t="s">
        <v>1321</v>
      </c>
      <c r="G1214" t="s">
        <v>46</v>
      </c>
    </row>
    <row r="1215" spans="1:7" x14ac:dyDescent="0.35">
      <c r="A1215" t="s">
        <v>2628</v>
      </c>
      <c r="B1215" s="4" t="s">
        <v>2627</v>
      </c>
      <c r="C1215">
        <v>1</v>
      </c>
      <c r="D1215" s="7">
        <v>2</v>
      </c>
      <c r="E1215">
        <v>2</v>
      </c>
      <c r="F1215" t="s">
        <v>1321</v>
      </c>
      <c r="G1215" t="s">
        <v>54</v>
      </c>
    </row>
    <row r="1216" spans="1:7" x14ac:dyDescent="0.35">
      <c r="A1216" t="s">
        <v>2629</v>
      </c>
      <c r="B1216" s="4" t="s">
        <v>2627</v>
      </c>
      <c r="C1216">
        <v>4</v>
      </c>
      <c r="D1216" s="7">
        <v>11</v>
      </c>
      <c r="E1216">
        <v>1</v>
      </c>
      <c r="F1216" t="s">
        <v>1324</v>
      </c>
      <c r="G1216" t="s">
        <v>46</v>
      </c>
    </row>
    <row r="1217" spans="1:7" x14ac:dyDescent="0.35">
      <c r="A1217" t="s">
        <v>2630</v>
      </c>
      <c r="B1217" s="4" t="s">
        <v>2627</v>
      </c>
      <c r="C1217">
        <v>5</v>
      </c>
      <c r="D1217" s="7">
        <v>15</v>
      </c>
      <c r="E1217">
        <v>1</v>
      </c>
      <c r="F1217" t="s">
        <v>1324</v>
      </c>
      <c r="G1217" t="s">
        <v>46</v>
      </c>
    </row>
    <row r="1218" spans="1:7" x14ac:dyDescent="0.35">
      <c r="A1218" t="s">
        <v>2631</v>
      </c>
      <c r="B1218" s="4" t="s">
        <v>2627</v>
      </c>
      <c r="C1218">
        <v>6</v>
      </c>
      <c r="D1218" s="7">
        <v>13</v>
      </c>
      <c r="E1218">
        <v>1</v>
      </c>
      <c r="F1218" t="s">
        <v>1324</v>
      </c>
      <c r="G1218" t="s">
        <v>46</v>
      </c>
    </row>
    <row r="1219" spans="1:7" x14ac:dyDescent="0.35">
      <c r="A1219" t="s">
        <v>2632</v>
      </c>
      <c r="B1219" s="4" t="s">
        <v>2627</v>
      </c>
      <c r="C1219">
        <v>9</v>
      </c>
      <c r="D1219" s="7">
        <v>15</v>
      </c>
      <c r="E1219">
        <v>1</v>
      </c>
      <c r="F1219" t="s">
        <v>1324</v>
      </c>
      <c r="G1219" t="s">
        <v>46</v>
      </c>
    </row>
    <row r="1220" spans="1:7" x14ac:dyDescent="0.35">
      <c r="A1220" t="s">
        <v>2633</v>
      </c>
      <c r="B1220" s="4" t="s">
        <v>2634</v>
      </c>
      <c r="C1220">
        <v>1</v>
      </c>
      <c r="D1220" s="7">
        <v>1</v>
      </c>
      <c r="E1220">
        <v>1</v>
      </c>
      <c r="F1220" t="s">
        <v>1321</v>
      </c>
      <c r="G1220" t="s">
        <v>46</v>
      </c>
    </row>
    <row r="1221" spans="1:7" x14ac:dyDescent="0.35">
      <c r="A1221" t="s">
        <v>2635</v>
      </c>
      <c r="B1221" s="4" t="s">
        <v>2634</v>
      </c>
      <c r="C1221">
        <v>4</v>
      </c>
      <c r="D1221" s="7">
        <v>7</v>
      </c>
      <c r="E1221">
        <v>1</v>
      </c>
      <c r="F1221" t="s">
        <v>1324</v>
      </c>
      <c r="G1221" t="s">
        <v>46</v>
      </c>
    </row>
    <row r="1222" spans="1:7" x14ac:dyDescent="0.35">
      <c r="A1222" t="s">
        <v>2636</v>
      </c>
      <c r="B1222" s="4" t="s">
        <v>2634</v>
      </c>
      <c r="C1222">
        <v>5</v>
      </c>
      <c r="D1222" s="7">
        <v>7</v>
      </c>
      <c r="E1222">
        <v>1</v>
      </c>
      <c r="F1222" t="s">
        <v>1324</v>
      </c>
      <c r="G1222" t="s">
        <v>46</v>
      </c>
    </row>
    <row r="1223" spans="1:7" x14ac:dyDescent="0.35">
      <c r="A1223" t="s">
        <v>2637</v>
      </c>
      <c r="B1223" s="4" t="s">
        <v>2634</v>
      </c>
      <c r="C1223">
        <v>6</v>
      </c>
      <c r="D1223" s="7">
        <v>6</v>
      </c>
      <c r="E1223">
        <v>1</v>
      </c>
      <c r="F1223" t="s">
        <v>1324</v>
      </c>
      <c r="G1223" t="s">
        <v>46</v>
      </c>
    </row>
    <row r="1224" spans="1:7" x14ac:dyDescent="0.35">
      <c r="A1224" t="s">
        <v>2638</v>
      </c>
      <c r="B1224" s="4" t="s">
        <v>2634</v>
      </c>
      <c r="C1224">
        <v>9</v>
      </c>
      <c r="D1224" s="7">
        <v>5</v>
      </c>
      <c r="E1224">
        <v>1</v>
      </c>
      <c r="F1224" t="s">
        <v>1324</v>
      </c>
      <c r="G1224" t="s">
        <v>46</v>
      </c>
    </row>
    <row r="1225" spans="1:7" x14ac:dyDescent="0.35">
      <c r="A1225" t="s">
        <v>2639</v>
      </c>
      <c r="B1225" s="4" t="s">
        <v>2640</v>
      </c>
      <c r="C1225">
        <v>1</v>
      </c>
      <c r="D1225" s="7">
        <v>1</v>
      </c>
      <c r="E1225">
        <v>1</v>
      </c>
      <c r="F1225" t="s">
        <v>1321</v>
      </c>
      <c r="G1225" t="s">
        <v>46</v>
      </c>
    </row>
    <row r="1226" spans="1:7" x14ac:dyDescent="0.35">
      <c r="A1226" t="s">
        <v>2641</v>
      </c>
      <c r="B1226" s="4" t="s">
        <v>2640</v>
      </c>
      <c r="C1226">
        <v>4</v>
      </c>
      <c r="D1226" s="7">
        <v>7</v>
      </c>
      <c r="E1226">
        <v>1</v>
      </c>
      <c r="F1226" t="s">
        <v>1324</v>
      </c>
      <c r="G1226" t="s">
        <v>46</v>
      </c>
    </row>
    <row r="1227" spans="1:7" x14ac:dyDescent="0.35">
      <c r="A1227" t="s">
        <v>2642</v>
      </c>
      <c r="B1227" s="4" t="s">
        <v>2640</v>
      </c>
      <c r="C1227">
        <v>5</v>
      </c>
      <c r="D1227" s="7">
        <v>6</v>
      </c>
      <c r="E1227">
        <v>1</v>
      </c>
      <c r="F1227" t="s">
        <v>1324</v>
      </c>
      <c r="G1227" t="s">
        <v>46</v>
      </c>
    </row>
    <row r="1228" spans="1:7" x14ac:dyDescent="0.35">
      <c r="A1228" t="s">
        <v>2643</v>
      </c>
      <c r="B1228" s="4" t="s">
        <v>2640</v>
      </c>
      <c r="C1228">
        <v>6</v>
      </c>
      <c r="D1228" s="7">
        <v>7</v>
      </c>
      <c r="E1228">
        <v>1</v>
      </c>
      <c r="F1228" t="s">
        <v>1324</v>
      </c>
      <c r="G1228" t="s">
        <v>46</v>
      </c>
    </row>
    <row r="1229" spans="1:7" x14ac:dyDescent="0.35">
      <c r="A1229" t="s">
        <v>2644</v>
      </c>
      <c r="B1229" s="4" t="s">
        <v>2640</v>
      </c>
      <c r="C1229">
        <v>9</v>
      </c>
      <c r="D1229" s="7">
        <v>5</v>
      </c>
      <c r="E1229">
        <v>1</v>
      </c>
      <c r="F1229" t="s">
        <v>1324</v>
      </c>
      <c r="G1229" t="s">
        <v>46</v>
      </c>
    </row>
    <row r="1230" spans="1:7" x14ac:dyDescent="0.35">
      <c r="A1230" t="s">
        <v>2645</v>
      </c>
      <c r="B1230" s="4" t="s">
        <v>2646</v>
      </c>
      <c r="C1230">
        <v>1</v>
      </c>
      <c r="D1230" s="7">
        <v>4</v>
      </c>
      <c r="E1230">
        <v>1</v>
      </c>
      <c r="F1230" t="s">
        <v>1321</v>
      </c>
      <c r="G1230" t="s">
        <v>46</v>
      </c>
    </row>
    <row r="1231" spans="1:7" x14ac:dyDescent="0.35">
      <c r="A1231" t="s">
        <v>2647</v>
      </c>
      <c r="B1231" s="4" t="s">
        <v>2646</v>
      </c>
      <c r="C1231">
        <v>4</v>
      </c>
      <c r="D1231" s="7">
        <v>10</v>
      </c>
      <c r="E1231">
        <v>1</v>
      </c>
      <c r="F1231" t="s">
        <v>1324</v>
      </c>
      <c r="G1231" t="s">
        <v>46</v>
      </c>
    </row>
    <row r="1232" spans="1:7" x14ac:dyDescent="0.35">
      <c r="A1232" t="s">
        <v>2648</v>
      </c>
      <c r="B1232" s="4" t="s">
        <v>2646</v>
      </c>
      <c r="C1232">
        <v>5</v>
      </c>
      <c r="D1232" s="7">
        <v>9</v>
      </c>
      <c r="E1232">
        <v>1</v>
      </c>
      <c r="F1232" t="s">
        <v>1324</v>
      </c>
      <c r="G1232" t="s">
        <v>46</v>
      </c>
    </row>
    <row r="1233" spans="1:7" x14ac:dyDescent="0.35">
      <c r="A1233" t="s">
        <v>2649</v>
      </c>
      <c r="B1233" s="4" t="s">
        <v>2646</v>
      </c>
      <c r="C1233">
        <v>6</v>
      </c>
      <c r="D1233" s="7">
        <v>11</v>
      </c>
      <c r="E1233">
        <v>1</v>
      </c>
      <c r="F1233" t="s">
        <v>1324</v>
      </c>
      <c r="G1233" t="s">
        <v>46</v>
      </c>
    </row>
    <row r="1234" spans="1:7" x14ac:dyDescent="0.35">
      <c r="A1234" t="s">
        <v>2650</v>
      </c>
      <c r="B1234" s="4" t="s">
        <v>2646</v>
      </c>
      <c r="C1234">
        <v>9</v>
      </c>
      <c r="D1234" s="7">
        <v>11</v>
      </c>
      <c r="E1234">
        <v>1</v>
      </c>
      <c r="F1234" t="s">
        <v>1324</v>
      </c>
      <c r="G1234" t="s">
        <v>46</v>
      </c>
    </row>
    <row r="1235" spans="1:7" x14ac:dyDescent="0.35">
      <c r="A1235" t="s">
        <v>2651</v>
      </c>
      <c r="B1235" s="4" t="s">
        <v>917</v>
      </c>
      <c r="C1235">
        <v>1</v>
      </c>
      <c r="D1235" s="7">
        <v>3</v>
      </c>
      <c r="E1235">
        <v>1</v>
      </c>
      <c r="F1235" t="s">
        <v>1321</v>
      </c>
      <c r="G1235" t="s">
        <v>46</v>
      </c>
    </row>
    <row r="1236" spans="1:7" x14ac:dyDescent="0.35">
      <c r="A1236" t="s">
        <v>2652</v>
      </c>
      <c r="B1236" s="4" t="s">
        <v>917</v>
      </c>
      <c r="C1236">
        <v>4</v>
      </c>
      <c r="D1236" s="7">
        <v>14</v>
      </c>
      <c r="E1236">
        <v>1</v>
      </c>
      <c r="F1236" t="s">
        <v>1324</v>
      </c>
      <c r="G1236" t="s">
        <v>46</v>
      </c>
    </row>
    <row r="1237" spans="1:7" x14ac:dyDescent="0.35">
      <c r="A1237" t="s">
        <v>2653</v>
      </c>
      <c r="B1237" s="4" t="s">
        <v>917</v>
      </c>
      <c r="C1237">
        <v>5</v>
      </c>
      <c r="D1237" s="7">
        <v>13</v>
      </c>
      <c r="E1237">
        <v>1</v>
      </c>
      <c r="F1237" t="s">
        <v>1324</v>
      </c>
      <c r="G1237" t="s">
        <v>46</v>
      </c>
    </row>
    <row r="1238" spans="1:7" x14ac:dyDescent="0.35">
      <c r="A1238" t="s">
        <v>2654</v>
      </c>
      <c r="B1238" s="4" t="s">
        <v>917</v>
      </c>
      <c r="C1238">
        <v>6</v>
      </c>
      <c r="D1238" s="7">
        <v>15</v>
      </c>
      <c r="E1238">
        <v>1</v>
      </c>
      <c r="F1238" t="s">
        <v>1324</v>
      </c>
      <c r="G1238" t="s">
        <v>46</v>
      </c>
    </row>
    <row r="1239" spans="1:7" x14ac:dyDescent="0.35">
      <c r="A1239" t="s">
        <v>2655</v>
      </c>
      <c r="B1239" s="4" t="s">
        <v>917</v>
      </c>
      <c r="C1239">
        <v>9</v>
      </c>
      <c r="D1239" s="7">
        <v>9</v>
      </c>
      <c r="E1239">
        <v>1</v>
      </c>
      <c r="F1239" t="s">
        <v>1324</v>
      </c>
      <c r="G1239" t="s">
        <v>46</v>
      </c>
    </row>
    <row r="1240" spans="1:7" x14ac:dyDescent="0.35">
      <c r="A1240" t="s">
        <v>2656</v>
      </c>
      <c r="B1240" s="4" t="s">
        <v>922</v>
      </c>
      <c r="C1240">
        <v>1</v>
      </c>
      <c r="D1240" s="7">
        <v>3</v>
      </c>
      <c r="E1240">
        <v>2</v>
      </c>
      <c r="F1240" t="s">
        <v>1321</v>
      </c>
      <c r="G1240" t="s">
        <v>54</v>
      </c>
    </row>
    <row r="1241" spans="1:7" x14ac:dyDescent="0.35">
      <c r="A1241" t="s">
        <v>2657</v>
      </c>
      <c r="B1241" s="4" t="s">
        <v>922</v>
      </c>
      <c r="C1241">
        <v>4</v>
      </c>
      <c r="D1241" s="7">
        <v>10</v>
      </c>
      <c r="E1241">
        <v>1</v>
      </c>
      <c r="F1241" t="s">
        <v>1324</v>
      </c>
      <c r="G1241" t="s">
        <v>46</v>
      </c>
    </row>
    <row r="1242" spans="1:7" x14ac:dyDescent="0.35">
      <c r="A1242" t="s">
        <v>2658</v>
      </c>
      <c r="B1242" s="4" t="s">
        <v>922</v>
      </c>
      <c r="C1242">
        <v>5</v>
      </c>
      <c r="D1242" s="7">
        <v>14</v>
      </c>
      <c r="E1242">
        <v>1</v>
      </c>
      <c r="F1242" t="s">
        <v>1324</v>
      </c>
      <c r="G1242" t="s">
        <v>46</v>
      </c>
    </row>
    <row r="1243" spans="1:7" x14ac:dyDescent="0.35">
      <c r="A1243" t="s">
        <v>2659</v>
      </c>
      <c r="B1243" s="4" t="s">
        <v>922</v>
      </c>
      <c r="C1243">
        <v>6</v>
      </c>
      <c r="D1243" s="7">
        <v>15</v>
      </c>
      <c r="E1243">
        <v>1</v>
      </c>
      <c r="F1243" t="s">
        <v>1324</v>
      </c>
      <c r="G1243" t="s">
        <v>46</v>
      </c>
    </row>
    <row r="1244" spans="1:7" x14ac:dyDescent="0.35">
      <c r="A1244" t="s">
        <v>2660</v>
      </c>
      <c r="B1244" s="4" t="s">
        <v>922</v>
      </c>
      <c r="C1244">
        <v>9</v>
      </c>
      <c r="D1244" s="7">
        <v>15</v>
      </c>
      <c r="E1244">
        <v>1</v>
      </c>
      <c r="F1244" t="s">
        <v>1324</v>
      </c>
      <c r="G1244" t="s">
        <v>46</v>
      </c>
    </row>
    <row r="1245" spans="1:7" x14ac:dyDescent="0.35">
      <c r="A1245" t="s">
        <v>2661</v>
      </c>
      <c r="B1245" s="4" t="s">
        <v>928</v>
      </c>
      <c r="C1245">
        <v>4</v>
      </c>
      <c r="D1245" s="7">
        <v>12</v>
      </c>
      <c r="E1245">
        <v>1</v>
      </c>
      <c r="F1245" t="s">
        <v>1324</v>
      </c>
      <c r="G1245" t="s">
        <v>46</v>
      </c>
    </row>
    <row r="1246" spans="1:7" x14ac:dyDescent="0.35">
      <c r="A1246" t="s">
        <v>2662</v>
      </c>
      <c r="B1246" s="4" t="s">
        <v>928</v>
      </c>
      <c r="C1246">
        <v>5</v>
      </c>
      <c r="D1246" s="7">
        <v>8</v>
      </c>
      <c r="E1246">
        <v>1</v>
      </c>
      <c r="F1246" t="s">
        <v>1324</v>
      </c>
      <c r="G1246" t="s">
        <v>46</v>
      </c>
    </row>
    <row r="1247" spans="1:7" x14ac:dyDescent="0.35">
      <c r="A1247" t="s">
        <v>2663</v>
      </c>
      <c r="B1247" s="4" t="s">
        <v>928</v>
      </c>
      <c r="C1247">
        <v>6</v>
      </c>
      <c r="D1247" s="7">
        <v>9</v>
      </c>
      <c r="E1247">
        <v>1</v>
      </c>
      <c r="F1247" t="s">
        <v>1324</v>
      </c>
      <c r="G1247" t="s">
        <v>46</v>
      </c>
    </row>
    <row r="1248" spans="1:7" x14ac:dyDescent="0.35">
      <c r="A1248" t="s">
        <v>2664</v>
      </c>
      <c r="B1248" s="4" t="s">
        <v>928</v>
      </c>
      <c r="C1248">
        <v>9</v>
      </c>
      <c r="D1248" s="7">
        <v>11</v>
      </c>
      <c r="E1248">
        <v>1</v>
      </c>
      <c r="F1248" t="s">
        <v>1324</v>
      </c>
      <c r="G1248" t="s">
        <v>46</v>
      </c>
    </row>
    <row r="1249" spans="1:7" x14ac:dyDescent="0.35">
      <c r="A1249" t="s">
        <v>2665</v>
      </c>
      <c r="B1249" s="4" t="s">
        <v>932</v>
      </c>
      <c r="C1249">
        <v>4</v>
      </c>
      <c r="D1249" s="7">
        <v>10</v>
      </c>
      <c r="E1249">
        <v>1</v>
      </c>
      <c r="F1249" t="s">
        <v>1324</v>
      </c>
      <c r="G1249" t="s">
        <v>46</v>
      </c>
    </row>
    <row r="1250" spans="1:7" x14ac:dyDescent="0.35">
      <c r="A1250" t="s">
        <v>2666</v>
      </c>
      <c r="B1250" s="4" t="s">
        <v>932</v>
      </c>
      <c r="C1250">
        <v>5</v>
      </c>
      <c r="D1250" s="7">
        <v>14</v>
      </c>
      <c r="E1250">
        <v>1</v>
      </c>
      <c r="F1250" t="s">
        <v>1324</v>
      </c>
      <c r="G1250" t="s">
        <v>46</v>
      </c>
    </row>
    <row r="1251" spans="1:7" x14ac:dyDescent="0.35">
      <c r="A1251" t="s">
        <v>2667</v>
      </c>
      <c r="B1251" s="4" t="s">
        <v>932</v>
      </c>
      <c r="C1251">
        <v>6</v>
      </c>
      <c r="D1251" s="7">
        <v>10</v>
      </c>
      <c r="E1251">
        <v>1</v>
      </c>
      <c r="F1251" t="s">
        <v>1324</v>
      </c>
      <c r="G1251" t="s">
        <v>46</v>
      </c>
    </row>
    <row r="1252" spans="1:7" x14ac:dyDescent="0.35">
      <c r="A1252" t="s">
        <v>2668</v>
      </c>
      <c r="B1252" s="4" t="s">
        <v>932</v>
      </c>
      <c r="C1252">
        <v>9</v>
      </c>
      <c r="D1252" s="7">
        <v>8</v>
      </c>
      <c r="E1252">
        <v>1</v>
      </c>
      <c r="F1252" t="s">
        <v>1324</v>
      </c>
      <c r="G1252" t="s">
        <v>46</v>
      </c>
    </row>
    <row r="1253" spans="1:7" x14ac:dyDescent="0.35">
      <c r="A1253" t="s">
        <v>2669</v>
      </c>
      <c r="B1253" s="4" t="s">
        <v>935</v>
      </c>
      <c r="C1253">
        <v>4</v>
      </c>
      <c r="D1253" s="7">
        <v>6</v>
      </c>
      <c r="E1253">
        <v>1</v>
      </c>
      <c r="F1253" t="s">
        <v>1324</v>
      </c>
      <c r="G1253" t="s">
        <v>46</v>
      </c>
    </row>
    <row r="1254" spans="1:7" x14ac:dyDescent="0.35">
      <c r="A1254" t="s">
        <v>2670</v>
      </c>
      <c r="B1254" s="4" t="s">
        <v>935</v>
      </c>
      <c r="C1254">
        <v>5</v>
      </c>
      <c r="D1254" s="7">
        <v>4</v>
      </c>
      <c r="E1254">
        <v>1</v>
      </c>
      <c r="F1254" t="s">
        <v>1324</v>
      </c>
      <c r="G1254" t="s">
        <v>46</v>
      </c>
    </row>
    <row r="1255" spans="1:7" x14ac:dyDescent="0.35">
      <c r="A1255" t="s">
        <v>2671</v>
      </c>
      <c r="B1255" s="4" t="s">
        <v>935</v>
      </c>
      <c r="C1255">
        <v>6</v>
      </c>
      <c r="D1255" s="7">
        <v>4</v>
      </c>
      <c r="E1255">
        <v>1</v>
      </c>
      <c r="F1255" t="s">
        <v>1324</v>
      </c>
      <c r="G1255" t="s">
        <v>46</v>
      </c>
    </row>
    <row r="1256" spans="1:7" x14ac:dyDescent="0.35">
      <c r="A1256" t="s">
        <v>2672</v>
      </c>
      <c r="B1256" s="4" t="s">
        <v>935</v>
      </c>
      <c r="C1256">
        <v>9</v>
      </c>
      <c r="D1256" s="7">
        <v>6</v>
      </c>
      <c r="E1256">
        <v>1</v>
      </c>
      <c r="F1256" t="s">
        <v>1324</v>
      </c>
      <c r="G1256" t="s">
        <v>46</v>
      </c>
    </row>
    <row r="1257" spans="1:7" x14ac:dyDescent="0.35">
      <c r="A1257" t="s">
        <v>2673</v>
      </c>
      <c r="B1257" s="4" t="s">
        <v>2674</v>
      </c>
      <c r="C1257">
        <v>4</v>
      </c>
      <c r="D1257" s="7">
        <v>7</v>
      </c>
      <c r="E1257">
        <v>1</v>
      </c>
      <c r="F1257" t="s">
        <v>1324</v>
      </c>
      <c r="G1257" t="s">
        <v>46</v>
      </c>
    </row>
    <row r="1258" spans="1:7" x14ac:dyDescent="0.35">
      <c r="A1258" t="s">
        <v>2675</v>
      </c>
      <c r="B1258" s="4" t="s">
        <v>2674</v>
      </c>
      <c r="C1258">
        <v>5</v>
      </c>
      <c r="D1258" s="7">
        <v>5</v>
      </c>
      <c r="E1258">
        <v>1</v>
      </c>
      <c r="F1258" t="s">
        <v>1324</v>
      </c>
      <c r="G1258" t="s">
        <v>46</v>
      </c>
    </row>
    <row r="1259" spans="1:7" x14ac:dyDescent="0.35">
      <c r="A1259" t="s">
        <v>2676</v>
      </c>
      <c r="B1259" s="4" t="s">
        <v>2674</v>
      </c>
      <c r="C1259">
        <v>6</v>
      </c>
      <c r="D1259" s="7">
        <v>7</v>
      </c>
      <c r="E1259">
        <v>1</v>
      </c>
      <c r="F1259" t="s">
        <v>1324</v>
      </c>
      <c r="G1259" t="s">
        <v>46</v>
      </c>
    </row>
    <row r="1260" spans="1:7" x14ac:dyDescent="0.35">
      <c r="A1260" t="s">
        <v>2677</v>
      </c>
      <c r="B1260" s="4" t="s">
        <v>2674</v>
      </c>
      <c r="C1260">
        <v>9</v>
      </c>
      <c r="D1260" s="7">
        <v>6</v>
      </c>
      <c r="E1260">
        <v>1</v>
      </c>
      <c r="F1260" t="s">
        <v>1324</v>
      </c>
      <c r="G1260" t="s">
        <v>46</v>
      </c>
    </row>
    <row r="1261" spans="1:7" x14ac:dyDescent="0.35">
      <c r="A1261" t="s">
        <v>2678</v>
      </c>
      <c r="B1261" s="4" t="s">
        <v>2679</v>
      </c>
      <c r="C1261">
        <v>1</v>
      </c>
      <c r="D1261" s="7">
        <v>2</v>
      </c>
      <c r="E1261">
        <v>1</v>
      </c>
      <c r="F1261" t="s">
        <v>1321</v>
      </c>
      <c r="G1261" t="s">
        <v>46</v>
      </c>
    </row>
    <row r="1262" spans="1:7" x14ac:dyDescent="0.35">
      <c r="A1262" t="s">
        <v>2680</v>
      </c>
      <c r="B1262" s="4" t="s">
        <v>2679</v>
      </c>
      <c r="C1262">
        <v>4</v>
      </c>
      <c r="D1262" s="7">
        <v>12</v>
      </c>
      <c r="E1262">
        <v>1</v>
      </c>
      <c r="F1262" t="s">
        <v>1324</v>
      </c>
      <c r="G1262" t="s">
        <v>46</v>
      </c>
    </row>
    <row r="1263" spans="1:7" x14ac:dyDescent="0.35">
      <c r="A1263" t="s">
        <v>2681</v>
      </c>
      <c r="B1263" s="4" t="s">
        <v>2679</v>
      </c>
      <c r="C1263">
        <v>5</v>
      </c>
      <c r="D1263" s="7">
        <v>10</v>
      </c>
      <c r="E1263">
        <v>1</v>
      </c>
      <c r="F1263" t="s">
        <v>1324</v>
      </c>
      <c r="G1263" t="s">
        <v>46</v>
      </c>
    </row>
    <row r="1264" spans="1:7" x14ac:dyDescent="0.35">
      <c r="A1264" t="s">
        <v>2682</v>
      </c>
      <c r="B1264" s="4" t="s">
        <v>2679</v>
      </c>
      <c r="C1264">
        <v>6</v>
      </c>
      <c r="D1264" s="7">
        <v>8</v>
      </c>
      <c r="E1264">
        <v>1</v>
      </c>
      <c r="F1264" t="s">
        <v>1324</v>
      </c>
      <c r="G1264" t="s">
        <v>46</v>
      </c>
    </row>
    <row r="1265" spans="1:7" x14ac:dyDescent="0.35">
      <c r="A1265" t="s">
        <v>2683</v>
      </c>
      <c r="B1265" s="4" t="s">
        <v>2679</v>
      </c>
      <c r="C1265">
        <v>9</v>
      </c>
      <c r="D1265" s="7">
        <v>13</v>
      </c>
      <c r="E1265">
        <v>1</v>
      </c>
      <c r="F1265" t="s">
        <v>1324</v>
      </c>
      <c r="G1265" t="s">
        <v>46</v>
      </c>
    </row>
    <row r="1266" spans="1:7" x14ac:dyDescent="0.35">
      <c r="A1266" t="s">
        <v>2684</v>
      </c>
      <c r="B1266" s="4" t="s">
        <v>939</v>
      </c>
      <c r="C1266">
        <v>4</v>
      </c>
      <c r="D1266" s="7">
        <v>10</v>
      </c>
      <c r="E1266">
        <v>1</v>
      </c>
      <c r="F1266" t="s">
        <v>1324</v>
      </c>
      <c r="G1266" t="s">
        <v>46</v>
      </c>
    </row>
    <row r="1267" spans="1:7" x14ac:dyDescent="0.35">
      <c r="A1267" t="s">
        <v>2685</v>
      </c>
      <c r="B1267" s="4" t="s">
        <v>939</v>
      </c>
      <c r="C1267">
        <v>5</v>
      </c>
      <c r="D1267" s="7">
        <v>14</v>
      </c>
      <c r="E1267">
        <v>1</v>
      </c>
      <c r="F1267" t="s">
        <v>1324</v>
      </c>
      <c r="G1267" t="s">
        <v>46</v>
      </c>
    </row>
    <row r="1268" spans="1:7" x14ac:dyDescent="0.35">
      <c r="A1268" t="s">
        <v>2686</v>
      </c>
      <c r="B1268" s="4" t="s">
        <v>939</v>
      </c>
      <c r="C1268">
        <v>6</v>
      </c>
      <c r="D1268" s="7">
        <v>14</v>
      </c>
      <c r="E1268">
        <v>1</v>
      </c>
      <c r="F1268" t="s">
        <v>1324</v>
      </c>
      <c r="G1268" t="s">
        <v>46</v>
      </c>
    </row>
    <row r="1269" spans="1:7" x14ac:dyDescent="0.35">
      <c r="A1269" t="s">
        <v>2687</v>
      </c>
      <c r="B1269" s="4" t="s">
        <v>939</v>
      </c>
      <c r="C1269">
        <v>9</v>
      </c>
      <c r="D1269" s="7">
        <v>13</v>
      </c>
      <c r="E1269">
        <v>1</v>
      </c>
      <c r="F1269" t="s">
        <v>1324</v>
      </c>
      <c r="G1269" t="s">
        <v>46</v>
      </c>
    </row>
    <row r="1270" spans="1:7" x14ac:dyDescent="0.35">
      <c r="A1270" t="s">
        <v>2688</v>
      </c>
      <c r="B1270" s="4" t="s">
        <v>949</v>
      </c>
      <c r="C1270">
        <v>1</v>
      </c>
      <c r="D1270" s="7">
        <v>2</v>
      </c>
      <c r="E1270">
        <v>1</v>
      </c>
      <c r="F1270" t="s">
        <v>1321</v>
      </c>
      <c r="G1270" t="s">
        <v>46</v>
      </c>
    </row>
    <row r="1271" spans="1:7" x14ac:dyDescent="0.35">
      <c r="A1271" t="s">
        <v>2689</v>
      </c>
      <c r="B1271" s="4" t="s">
        <v>949</v>
      </c>
      <c r="C1271">
        <v>1</v>
      </c>
      <c r="D1271" s="7">
        <v>1</v>
      </c>
      <c r="E1271">
        <v>2</v>
      </c>
      <c r="F1271" t="s">
        <v>1321</v>
      </c>
      <c r="G1271" t="s">
        <v>54</v>
      </c>
    </row>
    <row r="1272" spans="1:7" x14ac:dyDescent="0.35">
      <c r="A1272" t="s">
        <v>2690</v>
      </c>
      <c r="B1272" s="4" t="s">
        <v>949</v>
      </c>
      <c r="C1272">
        <v>4</v>
      </c>
      <c r="D1272" s="7">
        <v>11</v>
      </c>
      <c r="E1272">
        <v>1</v>
      </c>
      <c r="F1272" t="s">
        <v>1324</v>
      </c>
      <c r="G1272" t="s">
        <v>46</v>
      </c>
    </row>
    <row r="1273" spans="1:7" x14ac:dyDescent="0.35">
      <c r="A1273" t="s">
        <v>2691</v>
      </c>
      <c r="B1273" s="4" t="s">
        <v>949</v>
      </c>
      <c r="C1273">
        <v>5</v>
      </c>
      <c r="D1273" s="7">
        <v>8</v>
      </c>
      <c r="E1273">
        <v>1</v>
      </c>
      <c r="F1273" t="s">
        <v>1324</v>
      </c>
      <c r="G1273" t="s">
        <v>46</v>
      </c>
    </row>
    <row r="1274" spans="1:7" x14ac:dyDescent="0.35">
      <c r="A1274" t="s">
        <v>2692</v>
      </c>
      <c r="B1274" s="4" t="s">
        <v>949</v>
      </c>
      <c r="C1274">
        <v>6</v>
      </c>
      <c r="D1274" s="7">
        <v>12</v>
      </c>
      <c r="E1274">
        <v>1</v>
      </c>
      <c r="F1274" t="s">
        <v>1324</v>
      </c>
      <c r="G1274" t="s">
        <v>46</v>
      </c>
    </row>
    <row r="1275" spans="1:7" x14ac:dyDescent="0.35">
      <c r="A1275" t="s">
        <v>2693</v>
      </c>
      <c r="B1275" s="4" t="s">
        <v>949</v>
      </c>
      <c r="C1275">
        <v>9</v>
      </c>
      <c r="D1275" s="7">
        <v>14</v>
      </c>
      <c r="E1275">
        <v>1</v>
      </c>
      <c r="F1275" t="s">
        <v>1324</v>
      </c>
      <c r="G1275" t="s">
        <v>46</v>
      </c>
    </row>
    <row r="1276" spans="1:7" x14ac:dyDescent="0.35">
      <c r="A1276" t="s">
        <v>2694</v>
      </c>
      <c r="B1276" s="4" t="s">
        <v>2695</v>
      </c>
      <c r="C1276">
        <v>1</v>
      </c>
      <c r="D1276" s="7">
        <v>4</v>
      </c>
      <c r="E1276">
        <v>1</v>
      </c>
      <c r="F1276" t="s">
        <v>1321</v>
      </c>
      <c r="G1276" t="s">
        <v>46</v>
      </c>
    </row>
    <row r="1277" spans="1:7" x14ac:dyDescent="0.35">
      <c r="A1277" t="s">
        <v>2696</v>
      </c>
      <c r="B1277" s="4" t="s">
        <v>2695</v>
      </c>
      <c r="C1277">
        <v>4</v>
      </c>
      <c r="D1277" s="7">
        <v>8</v>
      </c>
      <c r="E1277">
        <v>1</v>
      </c>
      <c r="F1277" t="s">
        <v>1324</v>
      </c>
      <c r="G1277" t="s">
        <v>46</v>
      </c>
    </row>
    <row r="1278" spans="1:7" x14ac:dyDescent="0.35">
      <c r="A1278" t="s">
        <v>2697</v>
      </c>
      <c r="B1278" s="4" t="s">
        <v>2695</v>
      </c>
      <c r="C1278">
        <v>5</v>
      </c>
      <c r="D1278" s="7">
        <v>12</v>
      </c>
      <c r="E1278">
        <v>1</v>
      </c>
      <c r="F1278" t="s">
        <v>1324</v>
      </c>
      <c r="G1278" t="s">
        <v>46</v>
      </c>
    </row>
    <row r="1279" spans="1:7" x14ac:dyDescent="0.35">
      <c r="A1279" t="s">
        <v>2698</v>
      </c>
      <c r="B1279" s="4" t="s">
        <v>2695</v>
      </c>
      <c r="C1279">
        <v>6</v>
      </c>
      <c r="D1279" s="7">
        <v>13</v>
      </c>
      <c r="E1279">
        <v>1</v>
      </c>
      <c r="F1279" t="s">
        <v>1324</v>
      </c>
      <c r="G1279" t="s">
        <v>46</v>
      </c>
    </row>
    <row r="1280" spans="1:7" x14ac:dyDescent="0.35">
      <c r="A1280" t="s">
        <v>2699</v>
      </c>
      <c r="B1280" s="4" t="s">
        <v>2695</v>
      </c>
      <c r="C1280">
        <v>9</v>
      </c>
      <c r="D1280" s="7">
        <v>11</v>
      </c>
      <c r="E1280">
        <v>1</v>
      </c>
      <c r="F1280" t="s">
        <v>1324</v>
      </c>
      <c r="G1280" t="s">
        <v>46</v>
      </c>
    </row>
    <row r="1281" spans="1:7" x14ac:dyDescent="0.35">
      <c r="A1281" t="s">
        <v>2700</v>
      </c>
      <c r="B1281" s="4" t="s">
        <v>952</v>
      </c>
      <c r="C1281">
        <v>1</v>
      </c>
      <c r="D1281" s="7">
        <v>2</v>
      </c>
      <c r="E1281">
        <v>1</v>
      </c>
      <c r="F1281" t="s">
        <v>1321</v>
      </c>
      <c r="G1281" t="s">
        <v>46</v>
      </c>
    </row>
    <row r="1282" spans="1:7" x14ac:dyDescent="0.35">
      <c r="A1282" t="s">
        <v>2701</v>
      </c>
      <c r="B1282" s="4" t="s">
        <v>952</v>
      </c>
      <c r="C1282">
        <v>4</v>
      </c>
      <c r="D1282" s="7">
        <v>12</v>
      </c>
      <c r="E1282">
        <v>1</v>
      </c>
      <c r="F1282" t="s">
        <v>1324</v>
      </c>
      <c r="G1282" t="s">
        <v>46</v>
      </c>
    </row>
    <row r="1283" spans="1:7" x14ac:dyDescent="0.35">
      <c r="A1283" t="s">
        <v>2702</v>
      </c>
      <c r="B1283" s="4" t="s">
        <v>952</v>
      </c>
      <c r="C1283">
        <v>5</v>
      </c>
      <c r="D1283" s="7">
        <v>9</v>
      </c>
      <c r="E1283">
        <v>1</v>
      </c>
      <c r="F1283" t="s">
        <v>1324</v>
      </c>
      <c r="G1283" t="s">
        <v>46</v>
      </c>
    </row>
    <row r="1284" spans="1:7" x14ac:dyDescent="0.35">
      <c r="A1284" t="s">
        <v>2703</v>
      </c>
      <c r="B1284" s="4" t="s">
        <v>952</v>
      </c>
      <c r="C1284">
        <v>6</v>
      </c>
      <c r="D1284" s="7">
        <v>12</v>
      </c>
      <c r="E1284">
        <v>1</v>
      </c>
      <c r="F1284" t="s">
        <v>1324</v>
      </c>
      <c r="G1284" t="s">
        <v>46</v>
      </c>
    </row>
    <row r="1285" spans="1:7" x14ac:dyDescent="0.35">
      <c r="A1285" t="s">
        <v>2704</v>
      </c>
      <c r="B1285" s="4" t="s">
        <v>952</v>
      </c>
      <c r="C1285">
        <v>9</v>
      </c>
      <c r="D1285" s="7">
        <v>13</v>
      </c>
      <c r="E1285">
        <v>1</v>
      </c>
      <c r="F1285" t="s">
        <v>1324</v>
      </c>
      <c r="G1285" t="s">
        <v>46</v>
      </c>
    </row>
    <row r="1286" spans="1:7" x14ac:dyDescent="0.35">
      <c r="A1286" t="s">
        <v>2705</v>
      </c>
      <c r="B1286" s="4" t="s">
        <v>2706</v>
      </c>
      <c r="C1286">
        <v>4</v>
      </c>
      <c r="D1286" s="7">
        <v>7</v>
      </c>
      <c r="E1286">
        <v>1</v>
      </c>
      <c r="F1286" t="s">
        <v>1324</v>
      </c>
      <c r="G1286" t="s">
        <v>46</v>
      </c>
    </row>
    <row r="1287" spans="1:7" x14ac:dyDescent="0.35">
      <c r="A1287" t="s">
        <v>2707</v>
      </c>
      <c r="B1287" s="4" t="s">
        <v>2706</v>
      </c>
      <c r="C1287">
        <v>5</v>
      </c>
      <c r="D1287" s="7">
        <v>6</v>
      </c>
      <c r="E1287">
        <v>1</v>
      </c>
      <c r="F1287" t="s">
        <v>1324</v>
      </c>
      <c r="G1287" t="s">
        <v>46</v>
      </c>
    </row>
    <row r="1288" spans="1:7" x14ac:dyDescent="0.35">
      <c r="A1288" t="s">
        <v>2708</v>
      </c>
      <c r="B1288" s="4" t="s">
        <v>2706</v>
      </c>
      <c r="C1288">
        <v>6</v>
      </c>
      <c r="D1288" s="7">
        <v>7</v>
      </c>
      <c r="E1288">
        <v>1</v>
      </c>
      <c r="F1288" t="s">
        <v>1324</v>
      </c>
      <c r="G1288" t="s">
        <v>46</v>
      </c>
    </row>
    <row r="1289" spans="1:7" x14ac:dyDescent="0.35">
      <c r="A1289" t="s">
        <v>2709</v>
      </c>
      <c r="B1289" s="4" t="s">
        <v>2706</v>
      </c>
      <c r="C1289">
        <v>9</v>
      </c>
      <c r="D1289" s="7">
        <v>7</v>
      </c>
      <c r="E1289">
        <v>1</v>
      </c>
      <c r="F1289" t="s">
        <v>1324</v>
      </c>
      <c r="G1289" t="s">
        <v>46</v>
      </c>
    </row>
    <row r="1290" spans="1:7" x14ac:dyDescent="0.35">
      <c r="A1290" t="s">
        <v>2710</v>
      </c>
      <c r="B1290" s="4" t="s">
        <v>2711</v>
      </c>
      <c r="C1290">
        <v>4</v>
      </c>
      <c r="D1290" s="7">
        <v>5</v>
      </c>
      <c r="E1290">
        <v>1</v>
      </c>
      <c r="F1290" t="s">
        <v>1324</v>
      </c>
      <c r="G1290" t="s">
        <v>46</v>
      </c>
    </row>
    <row r="1291" spans="1:7" x14ac:dyDescent="0.35">
      <c r="A1291" t="s">
        <v>2712</v>
      </c>
      <c r="B1291" s="4" t="s">
        <v>2711</v>
      </c>
      <c r="C1291">
        <v>5</v>
      </c>
      <c r="D1291" s="7">
        <v>4</v>
      </c>
      <c r="E1291">
        <v>1</v>
      </c>
      <c r="F1291" t="s">
        <v>1324</v>
      </c>
      <c r="G1291" t="s">
        <v>46</v>
      </c>
    </row>
    <row r="1292" spans="1:7" x14ac:dyDescent="0.35">
      <c r="A1292" t="s">
        <v>2713</v>
      </c>
      <c r="B1292" s="4" t="s">
        <v>2711</v>
      </c>
      <c r="C1292">
        <v>6</v>
      </c>
      <c r="D1292" s="7">
        <v>7</v>
      </c>
      <c r="E1292">
        <v>1</v>
      </c>
      <c r="F1292" t="s">
        <v>1324</v>
      </c>
      <c r="G1292" t="s">
        <v>46</v>
      </c>
    </row>
    <row r="1293" spans="1:7" x14ac:dyDescent="0.35">
      <c r="A1293" t="s">
        <v>2714</v>
      </c>
      <c r="B1293" s="4" t="s">
        <v>2711</v>
      </c>
      <c r="C1293">
        <v>9</v>
      </c>
      <c r="D1293" s="7">
        <v>6</v>
      </c>
      <c r="E1293">
        <v>1</v>
      </c>
      <c r="F1293" t="s">
        <v>1324</v>
      </c>
      <c r="G1293" t="s">
        <v>46</v>
      </c>
    </row>
    <row r="1294" spans="1:7" x14ac:dyDescent="0.35">
      <c r="A1294" t="s">
        <v>2715</v>
      </c>
      <c r="B1294" s="4" t="s">
        <v>2716</v>
      </c>
      <c r="C1294">
        <v>1</v>
      </c>
      <c r="D1294" s="7">
        <v>2</v>
      </c>
      <c r="E1294">
        <v>1</v>
      </c>
      <c r="F1294" t="s">
        <v>1321</v>
      </c>
      <c r="G1294" t="s">
        <v>46</v>
      </c>
    </row>
    <row r="1295" spans="1:7" x14ac:dyDescent="0.35">
      <c r="A1295" t="s">
        <v>2717</v>
      </c>
      <c r="B1295" s="4" t="s">
        <v>2716</v>
      </c>
      <c r="C1295">
        <v>1</v>
      </c>
      <c r="D1295" s="7">
        <v>3</v>
      </c>
      <c r="E1295">
        <v>2</v>
      </c>
      <c r="F1295" t="s">
        <v>1321</v>
      </c>
      <c r="G1295" t="s">
        <v>54</v>
      </c>
    </row>
    <row r="1296" spans="1:7" x14ac:dyDescent="0.35">
      <c r="A1296" t="s">
        <v>2718</v>
      </c>
      <c r="B1296" s="4" t="s">
        <v>2716</v>
      </c>
      <c r="C1296">
        <v>4</v>
      </c>
      <c r="D1296" s="7">
        <v>11</v>
      </c>
      <c r="E1296">
        <v>1</v>
      </c>
      <c r="F1296" t="s">
        <v>1324</v>
      </c>
      <c r="G1296" t="s">
        <v>46</v>
      </c>
    </row>
    <row r="1297" spans="1:7" x14ac:dyDescent="0.35">
      <c r="A1297" t="s">
        <v>2719</v>
      </c>
      <c r="B1297" s="4" t="s">
        <v>2716</v>
      </c>
      <c r="C1297">
        <v>5</v>
      </c>
      <c r="D1297" s="7">
        <v>10</v>
      </c>
      <c r="E1297">
        <v>1</v>
      </c>
      <c r="F1297" t="s">
        <v>1324</v>
      </c>
      <c r="G1297" t="s">
        <v>46</v>
      </c>
    </row>
    <row r="1298" spans="1:7" x14ac:dyDescent="0.35">
      <c r="A1298" t="s">
        <v>2720</v>
      </c>
      <c r="B1298" s="4" t="s">
        <v>2716</v>
      </c>
      <c r="C1298">
        <v>6</v>
      </c>
      <c r="D1298" s="7">
        <v>10</v>
      </c>
      <c r="E1298">
        <v>1</v>
      </c>
      <c r="F1298" t="s">
        <v>1324</v>
      </c>
      <c r="G1298" t="s">
        <v>46</v>
      </c>
    </row>
    <row r="1299" spans="1:7" x14ac:dyDescent="0.35">
      <c r="A1299" t="s">
        <v>2721</v>
      </c>
      <c r="B1299" s="4" t="s">
        <v>2716</v>
      </c>
      <c r="C1299">
        <v>9</v>
      </c>
      <c r="D1299" s="7">
        <v>13</v>
      </c>
      <c r="E1299">
        <v>1</v>
      </c>
      <c r="F1299" t="s">
        <v>1324</v>
      </c>
      <c r="G1299" t="s">
        <v>46</v>
      </c>
    </row>
    <row r="1300" spans="1:7" x14ac:dyDescent="0.35">
      <c r="A1300" t="s">
        <v>2722</v>
      </c>
      <c r="B1300" s="4" t="s">
        <v>954</v>
      </c>
      <c r="C1300">
        <v>4</v>
      </c>
      <c r="D1300" s="7">
        <v>15</v>
      </c>
      <c r="E1300">
        <v>1</v>
      </c>
      <c r="F1300" t="s">
        <v>1324</v>
      </c>
      <c r="G1300" t="s">
        <v>46</v>
      </c>
    </row>
    <row r="1301" spans="1:7" x14ac:dyDescent="0.35">
      <c r="A1301" t="s">
        <v>2723</v>
      </c>
      <c r="B1301" s="4" t="s">
        <v>954</v>
      </c>
      <c r="C1301">
        <v>5</v>
      </c>
      <c r="D1301" s="7">
        <v>9</v>
      </c>
      <c r="E1301">
        <v>1</v>
      </c>
      <c r="F1301" t="s">
        <v>1324</v>
      </c>
      <c r="G1301" t="s">
        <v>46</v>
      </c>
    </row>
    <row r="1302" spans="1:7" x14ac:dyDescent="0.35">
      <c r="A1302" t="s">
        <v>2724</v>
      </c>
      <c r="B1302" s="4" t="s">
        <v>954</v>
      </c>
      <c r="C1302">
        <v>6</v>
      </c>
      <c r="D1302" s="7">
        <v>15</v>
      </c>
      <c r="E1302">
        <v>1</v>
      </c>
      <c r="F1302" t="s">
        <v>1324</v>
      </c>
      <c r="G1302" t="s">
        <v>46</v>
      </c>
    </row>
    <row r="1303" spans="1:7" x14ac:dyDescent="0.35">
      <c r="A1303" t="s">
        <v>2725</v>
      </c>
      <c r="B1303" s="4" t="s">
        <v>954</v>
      </c>
      <c r="C1303">
        <v>9</v>
      </c>
      <c r="D1303" s="7">
        <v>8</v>
      </c>
      <c r="E1303">
        <v>1</v>
      </c>
      <c r="F1303" t="s">
        <v>1324</v>
      </c>
      <c r="G1303" t="s">
        <v>46</v>
      </c>
    </row>
    <row r="1304" spans="1:7" x14ac:dyDescent="0.35">
      <c r="A1304" t="s">
        <v>2726</v>
      </c>
      <c r="B1304" s="4" t="s">
        <v>2727</v>
      </c>
      <c r="C1304">
        <v>4</v>
      </c>
      <c r="D1304" s="7">
        <v>8</v>
      </c>
      <c r="E1304">
        <v>1</v>
      </c>
      <c r="F1304" t="s">
        <v>1324</v>
      </c>
      <c r="G1304" t="s">
        <v>46</v>
      </c>
    </row>
    <row r="1305" spans="1:7" x14ac:dyDescent="0.35">
      <c r="A1305" t="s">
        <v>2728</v>
      </c>
      <c r="B1305" s="4" t="s">
        <v>2727</v>
      </c>
      <c r="C1305">
        <v>5</v>
      </c>
      <c r="D1305" s="7">
        <v>15</v>
      </c>
      <c r="E1305">
        <v>1</v>
      </c>
      <c r="F1305" t="s">
        <v>1324</v>
      </c>
      <c r="G1305" t="s">
        <v>46</v>
      </c>
    </row>
    <row r="1306" spans="1:7" x14ac:dyDescent="0.35">
      <c r="A1306" t="s">
        <v>2729</v>
      </c>
      <c r="B1306" s="4" t="s">
        <v>2727</v>
      </c>
      <c r="C1306">
        <v>6</v>
      </c>
      <c r="D1306" s="7">
        <v>12</v>
      </c>
      <c r="E1306">
        <v>1</v>
      </c>
      <c r="F1306" t="s">
        <v>1324</v>
      </c>
      <c r="G1306" t="s">
        <v>46</v>
      </c>
    </row>
    <row r="1307" spans="1:7" x14ac:dyDescent="0.35">
      <c r="A1307" t="s">
        <v>2730</v>
      </c>
      <c r="B1307" s="4" t="s">
        <v>2727</v>
      </c>
      <c r="C1307">
        <v>9</v>
      </c>
      <c r="D1307" s="7">
        <v>8</v>
      </c>
      <c r="E1307">
        <v>1</v>
      </c>
      <c r="F1307" t="s">
        <v>1324</v>
      </c>
      <c r="G1307" t="s">
        <v>46</v>
      </c>
    </row>
    <row r="1308" spans="1:7" x14ac:dyDescent="0.35">
      <c r="A1308" t="s">
        <v>2731</v>
      </c>
      <c r="B1308" s="4" t="s">
        <v>2732</v>
      </c>
      <c r="C1308">
        <v>1</v>
      </c>
      <c r="D1308" s="7">
        <v>2</v>
      </c>
      <c r="E1308">
        <v>1</v>
      </c>
      <c r="F1308" t="s">
        <v>1321</v>
      </c>
      <c r="G1308" t="s">
        <v>46</v>
      </c>
    </row>
    <row r="1309" spans="1:7" x14ac:dyDescent="0.35">
      <c r="A1309" t="s">
        <v>2733</v>
      </c>
      <c r="B1309" s="4" t="s">
        <v>2732</v>
      </c>
      <c r="C1309">
        <v>4</v>
      </c>
      <c r="D1309" s="7">
        <v>8</v>
      </c>
      <c r="E1309">
        <v>1</v>
      </c>
      <c r="F1309" t="s">
        <v>1324</v>
      </c>
      <c r="G1309" t="s">
        <v>46</v>
      </c>
    </row>
    <row r="1310" spans="1:7" x14ac:dyDescent="0.35">
      <c r="A1310" t="s">
        <v>2734</v>
      </c>
      <c r="B1310" s="4" t="s">
        <v>2732</v>
      </c>
      <c r="C1310">
        <v>5</v>
      </c>
      <c r="D1310" s="7">
        <v>14</v>
      </c>
      <c r="E1310">
        <v>1</v>
      </c>
      <c r="F1310" t="s">
        <v>1324</v>
      </c>
      <c r="G1310" t="s">
        <v>46</v>
      </c>
    </row>
    <row r="1311" spans="1:7" x14ac:dyDescent="0.35">
      <c r="A1311" t="s">
        <v>2735</v>
      </c>
      <c r="B1311" s="4" t="s">
        <v>2732</v>
      </c>
      <c r="C1311">
        <v>6</v>
      </c>
      <c r="D1311" s="7">
        <v>13</v>
      </c>
      <c r="E1311">
        <v>1</v>
      </c>
      <c r="F1311" t="s">
        <v>1324</v>
      </c>
      <c r="G1311" t="s">
        <v>46</v>
      </c>
    </row>
    <row r="1312" spans="1:7" x14ac:dyDescent="0.35">
      <c r="A1312" t="s">
        <v>2736</v>
      </c>
      <c r="B1312" s="4" t="s">
        <v>2732</v>
      </c>
      <c r="C1312">
        <v>9</v>
      </c>
      <c r="D1312" s="7">
        <v>9</v>
      </c>
      <c r="E1312">
        <v>1</v>
      </c>
      <c r="F1312" t="s">
        <v>1324</v>
      </c>
      <c r="G1312" t="s">
        <v>46</v>
      </c>
    </row>
    <row r="1313" spans="1:7" x14ac:dyDescent="0.35">
      <c r="A1313" t="s">
        <v>2737</v>
      </c>
      <c r="B1313" s="4" t="s">
        <v>2738</v>
      </c>
      <c r="C1313">
        <v>1</v>
      </c>
      <c r="D1313" s="7">
        <v>1</v>
      </c>
      <c r="E1313">
        <v>2</v>
      </c>
      <c r="F1313" t="s">
        <v>1321</v>
      </c>
      <c r="G1313" t="s">
        <v>54</v>
      </c>
    </row>
    <row r="1314" spans="1:7" x14ac:dyDescent="0.35">
      <c r="A1314" t="s">
        <v>2739</v>
      </c>
      <c r="B1314" s="4" t="s">
        <v>2738</v>
      </c>
      <c r="C1314">
        <v>4</v>
      </c>
      <c r="D1314" s="7">
        <v>15</v>
      </c>
      <c r="E1314">
        <v>1</v>
      </c>
      <c r="F1314" t="s">
        <v>1324</v>
      </c>
      <c r="G1314" t="s">
        <v>46</v>
      </c>
    </row>
    <row r="1315" spans="1:7" x14ac:dyDescent="0.35">
      <c r="A1315" t="s">
        <v>2740</v>
      </c>
      <c r="B1315" s="4" t="s">
        <v>2738</v>
      </c>
      <c r="C1315">
        <v>5</v>
      </c>
      <c r="D1315" s="7">
        <v>8</v>
      </c>
      <c r="E1315">
        <v>1</v>
      </c>
      <c r="F1315" t="s">
        <v>1324</v>
      </c>
      <c r="G1315" t="s">
        <v>46</v>
      </c>
    </row>
    <row r="1316" spans="1:7" x14ac:dyDescent="0.35">
      <c r="A1316" t="s">
        <v>2741</v>
      </c>
      <c r="B1316" s="4" t="s">
        <v>2738</v>
      </c>
      <c r="C1316">
        <v>6</v>
      </c>
      <c r="D1316" s="7">
        <v>12</v>
      </c>
      <c r="E1316">
        <v>1</v>
      </c>
      <c r="F1316" t="s">
        <v>1324</v>
      </c>
      <c r="G1316" t="s">
        <v>46</v>
      </c>
    </row>
    <row r="1317" spans="1:7" x14ac:dyDescent="0.35">
      <c r="A1317" t="s">
        <v>2742</v>
      </c>
      <c r="B1317" s="4" t="s">
        <v>2738</v>
      </c>
      <c r="C1317">
        <v>9</v>
      </c>
      <c r="D1317" s="7">
        <v>14</v>
      </c>
      <c r="E1317">
        <v>1</v>
      </c>
      <c r="F1317" t="s">
        <v>1324</v>
      </c>
      <c r="G1317" t="s">
        <v>46</v>
      </c>
    </row>
    <row r="1318" spans="1:7" x14ac:dyDescent="0.35">
      <c r="A1318" t="s">
        <v>2743</v>
      </c>
      <c r="B1318" s="4" t="s">
        <v>2744</v>
      </c>
      <c r="C1318">
        <v>1</v>
      </c>
      <c r="D1318" s="7">
        <v>1</v>
      </c>
      <c r="E1318">
        <v>1</v>
      </c>
      <c r="F1318" t="s">
        <v>1321</v>
      </c>
      <c r="G1318" t="s">
        <v>46</v>
      </c>
    </row>
    <row r="1319" spans="1:7" x14ac:dyDescent="0.35">
      <c r="A1319" t="s">
        <v>2745</v>
      </c>
      <c r="B1319" s="4" t="s">
        <v>2744</v>
      </c>
      <c r="C1319">
        <v>4</v>
      </c>
      <c r="D1319" s="7">
        <v>7</v>
      </c>
      <c r="E1319">
        <v>1</v>
      </c>
      <c r="F1319" t="s">
        <v>1324</v>
      </c>
      <c r="G1319" t="s">
        <v>46</v>
      </c>
    </row>
    <row r="1320" spans="1:7" x14ac:dyDescent="0.35">
      <c r="A1320" t="s">
        <v>2746</v>
      </c>
      <c r="B1320" s="4" t="s">
        <v>2744</v>
      </c>
      <c r="C1320">
        <v>5</v>
      </c>
      <c r="D1320" s="7">
        <v>6</v>
      </c>
      <c r="E1320">
        <v>1</v>
      </c>
      <c r="F1320" t="s">
        <v>1324</v>
      </c>
      <c r="G1320" t="s">
        <v>46</v>
      </c>
    </row>
    <row r="1321" spans="1:7" x14ac:dyDescent="0.35">
      <c r="A1321" t="s">
        <v>2747</v>
      </c>
      <c r="B1321" s="4" t="s">
        <v>2744</v>
      </c>
      <c r="C1321">
        <v>6</v>
      </c>
      <c r="D1321" s="7">
        <v>7</v>
      </c>
      <c r="E1321">
        <v>1</v>
      </c>
      <c r="F1321" t="s">
        <v>1324</v>
      </c>
      <c r="G1321" t="s">
        <v>46</v>
      </c>
    </row>
    <row r="1322" spans="1:7" x14ac:dyDescent="0.35">
      <c r="A1322" t="s">
        <v>2748</v>
      </c>
      <c r="B1322" s="4" t="s">
        <v>2744</v>
      </c>
      <c r="C1322">
        <v>9</v>
      </c>
      <c r="D1322" s="7">
        <v>7</v>
      </c>
      <c r="E1322">
        <v>1</v>
      </c>
      <c r="F1322" t="s">
        <v>1324</v>
      </c>
      <c r="G1322" t="s">
        <v>46</v>
      </c>
    </row>
    <row r="1323" spans="1:7" x14ac:dyDescent="0.35">
      <c r="A1323" t="s">
        <v>2749</v>
      </c>
      <c r="B1323" s="4" t="s">
        <v>2750</v>
      </c>
      <c r="C1323">
        <v>4</v>
      </c>
      <c r="D1323" s="7">
        <v>5</v>
      </c>
      <c r="E1323">
        <v>1</v>
      </c>
      <c r="F1323" t="s">
        <v>1324</v>
      </c>
      <c r="G1323" t="s">
        <v>46</v>
      </c>
    </row>
    <row r="1324" spans="1:7" x14ac:dyDescent="0.35">
      <c r="A1324" t="s">
        <v>2751</v>
      </c>
      <c r="B1324" s="4" t="s">
        <v>2750</v>
      </c>
      <c r="C1324">
        <v>5</v>
      </c>
      <c r="D1324" s="7">
        <v>6</v>
      </c>
      <c r="E1324">
        <v>1</v>
      </c>
      <c r="F1324" t="s">
        <v>1324</v>
      </c>
      <c r="G1324" t="s">
        <v>46</v>
      </c>
    </row>
    <row r="1325" spans="1:7" x14ac:dyDescent="0.35">
      <c r="A1325" t="s">
        <v>2752</v>
      </c>
      <c r="B1325" s="4" t="s">
        <v>2750</v>
      </c>
      <c r="C1325">
        <v>6</v>
      </c>
      <c r="D1325" s="7">
        <v>4</v>
      </c>
      <c r="E1325">
        <v>1</v>
      </c>
      <c r="F1325" t="s">
        <v>1324</v>
      </c>
      <c r="G1325" t="s">
        <v>46</v>
      </c>
    </row>
    <row r="1326" spans="1:7" x14ac:dyDescent="0.35">
      <c r="A1326" t="s">
        <v>2753</v>
      </c>
      <c r="B1326" s="4" t="s">
        <v>2750</v>
      </c>
      <c r="C1326">
        <v>9</v>
      </c>
      <c r="D1326" s="7">
        <v>5</v>
      </c>
      <c r="E1326">
        <v>1</v>
      </c>
      <c r="F1326" t="s">
        <v>1324</v>
      </c>
      <c r="G1326" t="s">
        <v>46</v>
      </c>
    </row>
    <row r="1327" spans="1:7" x14ac:dyDescent="0.35">
      <c r="A1327" t="s">
        <v>2754</v>
      </c>
      <c r="B1327" s="4" t="s">
        <v>2755</v>
      </c>
      <c r="C1327">
        <v>4</v>
      </c>
      <c r="D1327" s="7">
        <v>11</v>
      </c>
      <c r="E1327">
        <v>1</v>
      </c>
      <c r="F1327" t="s">
        <v>1324</v>
      </c>
      <c r="G1327" t="s">
        <v>46</v>
      </c>
    </row>
    <row r="1328" spans="1:7" x14ac:dyDescent="0.35">
      <c r="A1328" t="s">
        <v>2756</v>
      </c>
      <c r="B1328" s="4" t="s">
        <v>2755</v>
      </c>
      <c r="C1328">
        <v>5</v>
      </c>
      <c r="D1328" s="7">
        <v>8</v>
      </c>
      <c r="E1328">
        <v>1</v>
      </c>
      <c r="F1328" t="s">
        <v>1324</v>
      </c>
      <c r="G1328" t="s">
        <v>46</v>
      </c>
    </row>
    <row r="1329" spans="1:7" x14ac:dyDescent="0.35">
      <c r="A1329" t="s">
        <v>2757</v>
      </c>
      <c r="B1329" s="4" t="s">
        <v>2755</v>
      </c>
      <c r="C1329">
        <v>6</v>
      </c>
      <c r="D1329" s="7">
        <v>8</v>
      </c>
      <c r="E1329">
        <v>1</v>
      </c>
      <c r="F1329" t="s">
        <v>1324</v>
      </c>
      <c r="G1329" t="s">
        <v>46</v>
      </c>
    </row>
    <row r="1330" spans="1:7" x14ac:dyDescent="0.35">
      <c r="A1330" t="s">
        <v>2758</v>
      </c>
      <c r="B1330" s="4" t="s">
        <v>2755</v>
      </c>
      <c r="C1330">
        <v>9</v>
      </c>
      <c r="D1330" s="7">
        <v>12</v>
      </c>
      <c r="E1330">
        <v>1</v>
      </c>
      <c r="F1330" t="s">
        <v>1324</v>
      </c>
      <c r="G1330" t="s">
        <v>46</v>
      </c>
    </row>
    <row r="1331" spans="1:7" x14ac:dyDescent="0.35">
      <c r="A1331" t="s">
        <v>2759</v>
      </c>
      <c r="B1331" s="4" t="s">
        <v>2760</v>
      </c>
      <c r="C1331">
        <v>4</v>
      </c>
      <c r="D1331" s="7">
        <v>14</v>
      </c>
      <c r="E1331">
        <v>1</v>
      </c>
      <c r="F1331" t="s">
        <v>1324</v>
      </c>
      <c r="G1331" t="s">
        <v>46</v>
      </c>
    </row>
    <row r="1332" spans="1:7" x14ac:dyDescent="0.35">
      <c r="A1332" t="s">
        <v>2761</v>
      </c>
      <c r="B1332" s="4" t="s">
        <v>2760</v>
      </c>
      <c r="C1332">
        <v>5</v>
      </c>
      <c r="D1332" s="7">
        <v>11</v>
      </c>
      <c r="E1332">
        <v>1</v>
      </c>
      <c r="F1332" t="s">
        <v>1324</v>
      </c>
      <c r="G1332" t="s">
        <v>46</v>
      </c>
    </row>
    <row r="1333" spans="1:7" x14ac:dyDescent="0.35">
      <c r="A1333" t="s">
        <v>2762</v>
      </c>
      <c r="B1333" s="4" t="s">
        <v>2760</v>
      </c>
      <c r="C1333">
        <v>6</v>
      </c>
      <c r="D1333" s="7">
        <v>11</v>
      </c>
      <c r="E1333">
        <v>1</v>
      </c>
      <c r="F1333" t="s">
        <v>1324</v>
      </c>
      <c r="G1333" t="s">
        <v>46</v>
      </c>
    </row>
    <row r="1334" spans="1:7" x14ac:dyDescent="0.35">
      <c r="A1334" t="s">
        <v>2763</v>
      </c>
      <c r="B1334" s="4" t="s">
        <v>2760</v>
      </c>
      <c r="C1334">
        <v>9</v>
      </c>
      <c r="D1334" s="7">
        <v>15</v>
      </c>
      <c r="E1334">
        <v>1</v>
      </c>
      <c r="F1334" t="s">
        <v>1324</v>
      </c>
      <c r="G1334" t="s">
        <v>46</v>
      </c>
    </row>
    <row r="1335" spans="1:7" x14ac:dyDescent="0.35">
      <c r="A1335" t="s">
        <v>2764</v>
      </c>
      <c r="B1335" s="4" t="s">
        <v>958</v>
      </c>
      <c r="C1335">
        <v>1</v>
      </c>
      <c r="D1335" s="7">
        <v>4</v>
      </c>
      <c r="E1335">
        <v>1</v>
      </c>
      <c r="F1335" t="s">
        <v>1321</v>
      </c>
      <c r="G1335" t="s">
        <v>46</v>
      </c>
    </row>
    <row r="1336" spans="1:7" x14ac:dyDescent="0.35">
      <c r="A1336" t="s">
        <v>2765</v>
      </c>
      <c r="B1336" s="4" t="s">
        <v>958</v>
      </c>
      <c r="C1336">
        <v>1</v>
      </c>
      <c r="D1336" s="7">
        <v>3</v>
      </c>
      <c r="E1336">
        <v>2</v>
      </c>
      <c r="F1336" t="s">
        <v>1321</v>
      </c>
      <c r="G1336" t="s">
        <v>54</v>
      </c>
    </row>
    <row r="1337" spans="1:7" x14ac:dyDescent="0.35">
      <c r="A1337" t="s">
        <v>2766</v>
      </c>
      <c r="B1337" s="4" t="s">
        <v>958</v>
      </c>
      <c r="C1337">
        <v>4</v>
      </c>
      <c r="D1337" s="7">
        <v>8</v>
      </c>
      <c r="E1337">
        <v>1</v>
      </c>
      <c r="F1337" t="s">
        <v>1324</v>
      </c>
      <c r="G1337" t="s">
        <v>46</v>
      </c>
    </row>
    <row r="1338" spans="1:7" x14ac:dyDescent="0.35">
      <c r="A1338" t="s">
        <v>2767</v>
      </c>
      <c r="B1338" s="4" t="s">
        <v>958</v>
      </c>
      <c r="C1338">
        <v>5</v>
      </c>
      <c r="D1338" s="7">
        <v>14</v>
      </c>
      <c r="E1338">
        <v>1</v>
      </c>
      <c r="F1338" t="s">
        <v>1324</v>
      </c>
      <c r="G1338" t="s">
        <v>46</v>
      </c>
    </row>
    <row r="1339" spans="1:7" x14ac:dyDescent="0.35">
      <c r="A1339" t="s">
        <v>2768</v>
      </c>
      <c r="B1339" s="4" t="s">
        <v>958</v>
      </c>
      <c r="C1339">
        <v>6</v>
      </c>
      <c r="D1339" s="7">
        <v>8</v>
      </c>
      <c r="E1339">
        <v>1</v>
      </c>
      <c r="F1339" t="s">
        <v>1324</v>
      </c>
      <c r="G1339" t="s">
        <v>46</v>
      </c>
    </row>
    <row r="1340" spans="1:7" x14ac:dyDescent="0.35">
      <c r="A1340" t="s">
        <v>2769</v>
      </c>
      <c r="B1340" s="4" t="s">
        <v>958</v>
      </c>
      <c r="C1340">
        <v>9</v>
      </c>
      <c r="D1340" s="7">
        <v>11</v>
      </c>
      <c r="E1340">
        <v>1</v>
      </c>
      <c r="F1340" t="s">
        <v>1324</v>
      </c>
      <c r="G1340" t="s">
        <v>46</v>
      </c>
    </row>
    <row r="1341" spans="1:7" x14ac:dyDescent="0.35">
      <c r="A1341" t="s">
        <v>2770</v>
      </c>
      <c r="B1341" s="4" t="s">
        <v>967</v>
      </c>
      <c r="C1341">
        <v>1</v>
      </c>
      <c r="D1341" s="7">
        <v>2</v>
      </c>
      <c r="E1341">
        <v>1</v>
      </c>
      <c r="F1341" t="s">
        <v>1321</v>
      </c>
      <c r="G1341" t="s">
        <v>46</v>
      </c>
    </row>
    <row r="1342" spans="1:7" x14ac:dyDescent="0.35">
      <c r="A1342" t="s">
        <v>2771</v>
      </c>
      <c r="B1342" s="4" t="s">
        <v>967</v>
      </c>
      <c r="C1342">
        <v>4</v>
      </c>
      <c r="D1342" s="7">
        <v>8</v>
      </c>
      <c r="E1342">
        <v>1</v>
      </c>
      <c r="F1342" t="s">
        <v>1324</v>
      </c>
      <c r="G1342" t="s">
        <v>46</v>
      </c>
    </row>
    <row r="1343" spans="1:7" x14ac:dyDescent="0.35">
      <c r="A1343" t="s">
        <v>2772</v>
      </c>
      <c r="B1343" s="4" t="s">
        <v>967</v>
      </c>
      <c r="C1343">
        <v>5</v>
      </c>
      <c r="D1343" s="7">
        <v>11</v>
      </c>
      <c r="E1343">
        <v>1</v>
      </c>
      <c r="F1343" t="s">
        <v>1324</v>
      </c>
      <c r="G1343" t="s">
        <v>46</v>
      </c>
    </row>
    <row r="1344" spans="1:7" x14ac:dyDescent="0.35">
      <c r="A1344" t="s">
        <v>2773</v>
      </c>
      <c r="B1344" s="4" t="s">
        <v>967</v>
      </c>
      <c r="C1344">
        <v>6</v>
      </c>
      <c r="D1344" s="7">
        <v>8</v>
      </c>
      <c r="E1344">
        <v>1</v>
      </c>
      <c r="F1344" t="s">
        <v>1324</v>
      </c>
      <c r="G1344" t="s">
        <v>46</v>
      </c>
    </row>
    <row r="1345" spans="1:7" x14ac:dyDescent="0.35">
      <c r="A1345" t="s">
        <v>2774</v>
      </c>
      <c r="B1345" s="4" t="s">
        <v>967</v>
      </c>
      <c r="C1345">
        <v>9</v>
      </c>
      <c r="D1345" s="7">
        <v>14</v>
      </c>
      <c r="E1345">
        <v>1</v>
      </c>
      <c r="F1345" t="s">
        <v>1324</v>
      </c>
      <c r="G1345" t="s">
        <v>46</v>
      </c>
    </row>
    <row r="1346" spans="1:7" x14ac:dyDescent="0.35">
      <c r="A1346" t="s">
        <v>2775</v>
      </c>
      <c r="B1346" s="4" t="s">
        <v>2776</v>
      </c>
      <c r="C1346">
        <v>4</v>
      </c>
      <c r="D1346" s="7">
        <v>8</v>
      </c>
      <c r="E1346">
        <v>1</v>
      </c>
      <c r="F1346" t="s">
        <v>1324</v>
      </c>
      <c r="G1346" t="s">
        <v>46</v>
      </c>
    </row>
    <row r="1347" spans="1:7" x14ac:dyDescent="0.35">
      <c r="A1347" t="s">
        <v>2777</v>
      </c>
      <c r="B1347" s="4" t="s">
        <v>2776</v>
      </c>
      <c r="C1347">
        <v>5</v>
      </c>
      <c r="D1347" s="7">
        <v>10</v>
      </c>
      <c r="E1347">
        <v>1</v>
      </c>
      <c r="F1347" t="s">
        <v>1324</v>
      </c>
      <c r="G1347" t="s">
        <v>46</v>
      </c>
    </row>
    <row r="1348" spans="1:7" x14ac:dyDescent="0.35">
      <c r="A1348" t="s">
        <v>2778</v>
      </c>
      <c r="B1348" s="4" t="s">
        <v>2776</v>
      </c>
      <c r="C1348">
        <v>6</v>
      </c>
      <c r="D1348" s="7">
        <v>12</v>
      </c>
      <c r="E1348">
        <v>1</v>
      </c>
      <c r="F1348" t="s">
        <v>1324</v>
      </c>
      <c r="G1348" t="s">
        <v>46</v>
      </c>
    </row>
    <row r="1349" spans="1:7" x14ac:dyDescent="0.35">
      <c r="A1349" t="s">
        <v>2779</v>
      </c>
      <c r="B1349" s="4" t="s">
        <v>2776</v>
      </c>
      <c r="C1349">
        <v>9</v>
      </c>
      <c r="D1349" s="7">
        <v>11</v>
      </c>
      <c r="E1349">
        <v>1</v>
      </c>
      <c r="F1349" t="s">
        <v>1324</v>
      </c>
      <c r="G1349" t="s">
        <v>46</v>
      </c>
    </row>
    <row r="1350" spans="1:7" x14ac:dyDescent="0.35">
      <c r="A1350" t="s">
        <v>2780</v>
      </c>
      <c r="B1350" s="4" t="s">
        <v>2781</v>
      </c>
      <c r="C1350">
        <v>4</v>
      </c>
      <c r="D1350" s="7">
        <v>6</v>
      </c>
      <c r="E1350">
        <v>1</v>
      </c>
      <c r="F1350" t="s">
        <v>1324</v>
      </c>
      <c r="G1350" t="s">
        <v>46</v>
      </c>
    </row>
    <row r="1351" spans="1:7" x14ac:dyDescent="0.35">
      <c r="A1351" t="s">
        <v>2782</v>
      </c>
      <c r="B1351" s="4" t="s">
        <v>2781</v>
      </c>
      <c r="C1351">
        <v>5</v>
      </c>
      <c r="D1351" s="7">
        <v>5</v>
      </c>
      <c r="E1351">
        <v>1</v>
      </c>
      <c r="F1351" t="s">
        <v>1324</v>
      </c>
      <c r="G1351" t="s">
        <v>46</v>
      </c>
    </row>
    <row r="1352" spans="1:7" x14ac:dyDescent="0.35">
      <c r="A1352" t="s">
        <v>2783</v>
      </c>
      <c r="B1352" s="4" t="s">
        <v>2781</v>
      </c>
      <c r="C1352">
        <v>6</v>
      </c>
      <c r="D1352" s="7">
        <v>6</v>
      </c>
      <c r="E1352">
        <v>1</v>
      </c>
      <c r="F1352" t="s">
        <v>1324</v>
      </c>
      <c r="G1352" t="s">
        <v>46</v>
      </c>
    </row>
    <row r="1353" spans="1:7" x14ac:dyDescent="0.35">
      <c r="A1353" t="s">
        <v>2784</v>
      </c>
      <c r="B1353" s="4" t="s">
        <v>2781</v>
      </c>
      <c r="C1353">
        <v>9</v>
      </c>
      <c r="D1353" s="7">
        <v>5</v>
      </c>
      <c r="E1353">
        <v>1</v>
      </c>
      <c r="F1353" t="s">
        <v>1324</v>
      </c>
      <c r="G1353" t="s">
        <v>46</v>
      </c>
    </row>
    <row r="1354" spans="1:7" x14ac:dyDescent="0.35">
      <c r="A1354" t="s">
        <v>2785</v>
      </c>
      <c r="B1354" s="4" t="s">
        <v>2786</v>
      </c>
      <c r="C1354">
        <v>4</v>
      </c>
      <c r="D1354" s="7">
        <v>6</v>
      </c>
      <c r="E1354">
        <v>1</v>
      </c>
      <c r="F1354" t="s">
        <v>1324</v>
      </c>
      <c r="G1354" t="s">
        <v>46</v>
      </c>
    </row>
    <row r="1355" spans="1:7" x14ac:dyDescent="0.35">
      <c r="A1355" t="s">
        <v>2787</v>
      </c>
      <c r="B1355" s="4" t="s">
        <v>2786</v>
      </c>
      <c r="C1355">
        <v>5</v>
      </c>
      <c r="D1355" s="7">
        <v>4</v>
      </c>
      <c r="E1355">
        <v>1</v>
      </c>
      <c r="F1355" t="s">
        <v>1324</v>
      </c>
      <c r="G1355" t="s">
        <v>46</v>
      </c>
    </row>
    <row r="1356" spans="1:7" x14ac:dyDescent="0.35">
      <c r="A1356" t="s">
        <v>2788</v>
      </c>
      <c r="B1356" s="4" t="s">
        <v>2786</v>
      </c>
      <c r="C1356">
        <v>6</v>
      </c>
      <c r="D1356" s="7">
        <v>5</v>
      </c>
      <c r="E1356">
        <v>1</v>
      </c>
      <c r="F1356" t="s">
        <v>1324</v>
      </c>
      <c r="G1356" t="s">
        <v>46</v>
      </c>
    </row>
    <row r="1357" spans="1:7" x14ac:dyDescent="0.35">
      <c r="A1357" t="s">
        <v>2789</v>
      </c>
      <c r="B1357" s="4" t="s">
        <v>2786</v>
      </c>
      <c r="C1357">
        <v>9</v>
      </c>
      <c r="D1357" s="7">
        <v>7</v>
      </c>
      <c r="E1357">
        <v>1</v>
      </c>
      <c r="F1357" t="s">
        <v>1324</v>
      </c>
      <c r="G1357" t="s">
        <v>46</v>
      </c>
    </row>
    <row r="1358" spans="1:7" x14ac:dyDescent="0.35">
      <c r="A1358" t="s">
        <v>2790</v>
      </c>
      <c r="B1358" s="4" t="s">
        <v>2791</v>
      </c>
      <c r="C1358">
        <v>1</v>
      </c>
      <c r="D1358" s="7">
        <v>2</v>
      </c>
      <c r="E1358">
        <v>2</v>
      </c>
      <c r="F1358" t="s">
        <v>1321</v>
      </c>
      <c r="G1358" t="s">
        <v>54</v>
      </c>
    </row>
    <row r="1359" spans="1:7" x14ac:dyDescent="0.35">
      <c r="A1359" t="s">
        <v>2792</v>
      </c>
      <c r="B1359" s="4" t="s">
        <v>2791</v>
      </c>
      <c r="C1359">
        <v>4</v>
      </c>
      <c r="D1359" s="7">
        <v>14</v>
      </c>
      <c r="E1359">
        <v>1</v>
      </c>
      <c r="F1359" t="s">
        <v>1324</v>
      </c>
      <c r="G1359" t="s">
        <v>46</v>
      </c>
    </row>
    <row r="1360" spans="1:7" x14ac:dyDescent="0.35">
      <c r="A1360" t="s">
        <v>2793</v>
      </c>
      <c r="B1360" s="4" t="s">
        <v>2791</v>
      </c>
      <c r="C1360">
        <v>5</v>
      </c>
      <c r="D1360" s="7">
        <v>13</v>
      </c>
      <c r="E1360">
        <v>1</v>
      </c>
      <c r="F1360" t="s">
        <v>1324</v>
      </c>
      <c r="G1360" t="s">
        <v>46</v>
      </c>
    </row>
    <row r="1361" spans="1:7" x14ac:dyDescent="0.35">
      <c r="A1361" t="s">
        <v>2794</v>
      </c>
      <c r="B1361" s="4" t="s">
        <v>2791</v>
      </c>
      <c r="C1361">
        <v>6</v>
      </c>
      <c r="D1361" s="7">
        <v>14</v>
      </c>
      <c r="E1361">
        <v>1</v>
      </c>
      <c r="F1361" t="s">
        <v>1324</v>
      </c>
      <c r="G1361" t="s">
        <v>46</v>
      </c>
    </row>
    <row r="1362" spans="1:7" x14ac:dyDescent="0.35">
      <c r="A1362" t="s">
        <v>2795</v>
      </c>
      <c r="B1362" s="4" t="s">
        <v>2791</v>
      </c>
      <c r="C1362">
        <v>9</v>
      </c>
      <c r="D1362" s="7">
        <v>14</v>
      </c>
      <c r="E1362">
        <v>1</v>
      </c>
      <c r="F1362" t="s">
        <v>1324</v>
      </c>
      <c r="G1362" t="s">
        <v>46</v>
      </c>
    </row>
    <row r="1363" spans="1:7" x14ac:dyDescent="0.35">
      <c r="A1363" t="s">
        <v>2796</v>
      </c>
      <c r="B1363" s="4" t="s">
        <v>2797</v>
      </c>
      <c r="C1363">
        <v>1</v>
      </c>
      <c r="D1363" s="7">
        <v>5</v>
      </c>
      <c r="E1363">
        <v>1</v>
      </c>
      <c r="F1363" t="s">
        <v>1321</v>
      </c>
      <c r="G1363" t="s">
        <v>46</v>
      </c>
    </row>
    <row r="1364" spans="1:7" x14ac:dyDescent="0.35">
      <c r="A1364" t="s">
        <v>2798</v>
      </c>
      <c r="B1364" s="4" t="s">
        <v>2797</v>
      </c>
      <c r="C1364">
        <v>1</v>
      </c>
      <c r="D1364" s="7">
        <v>3</v>
      </c>
      <c r="E1364">
        <v>2</v>
      </c>
      <c r="F1364" t="s">
        <v>1321</v>
      </c>
      <c r="G1364" t="s">
        <v>54</v>
      </c>
    </row>
    <row r="1365" spans="1:7" x14ac:dyDescent="0.35">
      <c r="A1365" t="s">
        <v>2799</v>
      </c>
      <c r="B1365" s="4" t="s">
        <v>2797</v>
      </c>
      <c r="C1365">
        <v>4</v>
      </c>
      <c r="D1365" s="7">
        <v>11</v>
      </c>
      <c r="E1365">
        <v>1</v>
      </c>
      <c r="F1365" t="s">
        <v>1324</v>
      </c>
      <c r="G1365" t="s">
        <v>46</v>
      </c>
    </row>
    <row r="1366" spans="1:7" x14ac:dyDescent="0.35">
      <c r="A1366" t="s">
        <v>2800</v>
      </c>
      <c r="B1366" s="4" t="s">
        <v>2797</v>
      </c>
      <c r="C1366">
        <v>5</v>
      </c>
      <c r="D1366" s="7">
        <v>12</v>
      </c>
      <c r="E1366">
        <v>1</v>
      </c>
      <c r="F1366" t="s">
        <v>1324</v>
      </c>
      <c r="G1366" t="s">
        <v>46</v>
      </c>
    </row>
    <row r="1367" spans="1:7" x14ac:dyDescent="0.35">
      <c r="A1367" t="s">
        <v>2801</v>
      </c>
      <c r="B1367" s="4" t="s">
        <v>2797</v>
      </c>
      <c r="C1367">
        <v>6</v>
      </c>
      <c r="D1367" s="7">
        <v>10</v>
      </c>
      <c r="E1367">
        <v>1</v>
      </c>
      <c r="F1367" t="s">
        <v>1324</v>
      </c>
      <c r="G1367" t="s">
        <v>46</v>
      </c>
    </row>
    <row r="1368" spans="1:7" x14ac:dyDescent="0.35">
      <c r="A1368" t="s">
        <v>2802</v>
      </c>
      <c r="B1368" s="4" t="s">
        <v>2797</v>
      </c>
      <c r="C1368">
        <v>9</v>
      </c>
      <c r="D1368" s="7">
        <v>15</v>
      </c>
      <c r="E1368">
        <v>1</v>
      </c>
      <c r="F1368" t="s">
        <v>1324</v>
      </c>
      <c r="G1368" t="s">
        <v>46</v>
      </c>
    </row>
    <row r="1369" spans="1:7" x14ac:dyDescent="0.35">
      <c r="A1369" t="s">
        <v>2803</v>
      </c>
      <c r="B1369" s="4" t="s">
        <v>2804</v>
      </c>
      <c r="C1369">
        <v>4</v>
      </c>
      <c r="D1369" s="7">
        <v>10</v>
      </c>
      <c r="E1369">
        <v>1</v>
      </c>
      <c r="F1369" t="s">
        <v>1324</v>
      </c>
      <c r="G1369" t="s">
        <v>46</v>
      </c>
    </row>
    <row r="1370" spans="1:7" x14ac:dyDescent="0.35">
      <c r="A1370" t="s">
        <v>2805</v>
      </c>
      <c r="B1370" s="4" t="s">
        <v>2804</v>
      </c>
      <c r="C1370">
        <v>5</v>
      </c>
      <c r="D1370" s="7">
        <v>14</v>
      </c>
      <c r="E1370">
        <v>1</v>
      </c>
      <c r="F1370" t="s">
        <v>1324</v>
      </c>
      <c r="G1370" t="s">
        <v>46</v>
      </c>
    </row>
    <row r="1371" spans="1:7" x14ac:dyDescent="0.35">
      <c r="A1371" t="s">
        <v>2806</v>
      </c>
      <c r="B1371" s="4" t="s">
        <v>2804</v>
      </c>
      <c r="C1371">
        <v>6</v>
      </c>
      <c r="D1371" s="7">
        <v>11</v>
      </c>
      <c r="E1371">
        <v>1</v>
      </c>
      <c r="F1371" t="s">
        <v>1324</v>
      </c>
      <c r="G1371" t="s">
        <v>46</v>
      </c>
    </row>
    <row r="1372" spans="1:7" x14ac:dyDescent="0.35">
      <c r="A1372" t="s">
        <v>2807</v>
      </c>
      <c r="B1372" s="4" t="s">
        <v>2804</v>
      </c>
      <c r="C1372">
        <v>9</v>
      </c>
      <c r="D1372" s="7">
        <v>12</v>
      </c>
      <c r="E1372">
        <v>1</v>
      </c>
      <c r="F1372" t="s">
        <v>1324</v>
      </c>
      <c r="G1372" t="s">
        <v>46</v>
      </c>
    </row>
    <row r="1373" spans="1:7" x14ac:dyDescent="0.35">
      <c r="A1373" t="s">
        <v>2808</v>
      </c>
      <c r="B1373" s="4" t="s">
        <v>2809</v>
      </c>
      <c r="C1373">
        <v>1</v>
      </c>
      <c r="D1373" s="7">
        <v>2</v>
      </c>
      <c r="E1373">
        <v>1</v>
      </c>
      <c r="F1373" t="s">
        <v>1321</v>
      </c>
      <c r="G1373" t="s">
        <v>46</v>
      </c>
    </row>
    <row r="1374" spans="1:7" x14ac:dyDescent="0.35">
      <c r="A1374" t="s">
        <v>2810</v>
      </c>
      <c r="B1374" s="4" t="s">
        <v>2809</v>
      </c>
      <c r="C1374">
        <v>4</v>
      </c>
      <c r="D1374" s="7">
        <v>9</v>
      </c>
      <c r="E1374">
        <v>1</v>
      </c>
      <c r="F1374" t="s">
        <v>1324</v>
      </c>
      <c r="G1374" t="s">
        <v>46</v>
      </c>
    </row>
    <row r="1375" spans="1:7" x14ac:dyDescent="0.35">
      <c r="A1375" t="s">
        <v>2811</v>
      </c>
      <c r="B1375" s="4" t="s">
        <v>2809</v>
      </c>
      <c r="C1375">
        <v>5</v>
      </c>
      <c r="D1375" s="7">
        <v>11</v>
      </c>
      <c r="E1375">
        <v>1</v>
      </c>
      <c r="F1375" t="s">
        <v>1324</v>
      </c>
      <c r="G1375" t="s">
        <v>46</v>
      </c>
    </row>
    <row r="1376" spans="1:7" x14ac:dyDescent="0.35">
      <c r="A1376" t="s">
        <v>2812</v>
      </c>
      <c r="B1376" s="4" t="s">
        <v>2809</v>
      </c>
      <c r="C1376">
        <v>6</v>
      </c>
      <c r="D1376" s="7">
        <v>8</v>
      </c>
      <c r="E1376">
        <v>1</v>
      </c>
      <c r="F1376" t="s">
        <v>1324</v>
      </c>
      <c r="G1376" t="s">
        <v>46</v>
      </c>
    </row>
    <row r="1377" spans="1:7" x14ac:dyDescent="0.35">
      <c r="A1377" t="s">
        <v>2813</v>
      </c>
      <c r="B1377" s="4" t="s">
        <v>2809</v>
      </c>
      <c r="C1377">
        <v>9</v>
      </c>
      <c r="D1377" s="7">
        <v>12</v>
      </c>
      <c r="E1377">
        <v>1</v>
      </c>
      <c r="F1377" t="s">
        <v>1324</v>
      </c>
      <c r="G1377" t="s">
        <v>46</v>
      </c>
    </row>
    <row r="1378" spans="1:7" x14ac:dyDescent="0.35">
      <c r="A1378" t="s">
        <v>2814</v>
      </c>
      <c r="B1378" s="4" t="s">
        <v>2815</v>
      </c>
      <c r="C1378">
        <v>1</v>
      </c>
      <c r="D1378" s="7">
        <v>2</v>
      </c>
      <c r="E1378">
        <v>1</v>
      </c>
      <c r="F1378" t="s">
        <v>1321</v>
      </c>
      <c r="G1378" t="s">
        <v>46</v>
      </c>
    </row>
    <row r="1379" spans="1:7" x14ac:dyDescent="0.35">
      <c r="A1379" t="s">
        <v>2816</v>
      </c>
      <c r="B1379" s="4" t="s">
        <v>2815</v>
      </c>
      <c r="C1379">
        <v>4</v>
      </c>
      <c r="D1379" s="7">
        <v>11</v>
      </c>
      <c r="E1379">
        <v>1</v>
      </c>
      <c r="F1379" t="s">
        <v>1324</v>
      </c>
      <c r="G1379" t="s">
        <v>46</v>
      </c>
    </row>
    <row r="1380" spans="1:7" x14ac:dyDescent="0.35">
      <c r="A1380" t="s">
        <v>2817</v>
      </c>
      <c r="B1380" s="4" t="s">
        <v>2815</v>
      </c>
      <c r="C1380">
        <v>5</v>
      </c>
      <c r="D1380" s="7">
        <v>15</v>
      </c>
      <c r="E1380">
        <v>1</v>
      </c>
      <c r="F1380" t="s">
        <v>1324</v>
      </c>
      <c r="G1380" t="s">
        <v>46</v>
      </c>
    </row>
    <row r="1381" spans="1:7" x14ac:dyDescent="0.35">
      <c r="A1381" t="s">
        <v>2818</v>
      </c>
      <c r="B1381" s="4" t="s">
        <v>2815</v>
      </c>
      <c r="C1381">
        <v>6</v>
      </c>
      <c r="D1381" s="7">
        <v>11</v>
      </c>
      <c r="E1381">
        <v>1</v>
      </c>
      <c r="F1381" t="s">
        <v>1324</v>
      </c>
      <c r="G1381" t="s">
        <v>46</v>
      </c>
    </row>
    <row r="1382" spans="1:7" x14ac:dyDescent="0.35">
      <c r="A1382" t="s">
        <v>2819</v>
      </c>
      <c r="B1382" s="4" t="s">
        <v>2815</v>
      </c>
      <c r="C1382">
        <v>9</v>
      </c>
      <c r="D1382" s="7">
        <v>13</v>
      </c>
      <c r="E1382">
        <v>1</v>
      </c>
      <c r="F1382" t="s">
        <v>1324</v>
      </c>
      <c r="G1382" t="s">
        <v>46</v>
      </c>
    </row>
    <row r="1383" spans="1:7" x14ac:dyDescent="0.35">
      <c r="A1383" t="s">
        <v>2820</v>
      </c>
      <c r="B1383" s="4" t="s">
        <v>2821</v>
      </c>
      <c r="C1383">
        <v>4</v>
      </c>
      <c r="D1383" s="7">
        <v>4</v>
      </c>
      <c r="E1383">
        <v>1</v>
      </c>
      <c r="F1383" t="s">
        <v>1324</v>
      </c>
      <c r="G1383" t="s">
        <v>46</v>
      </c>
    </row>
    <row r="1384" spans="1:7" x14ac:dyDescent="0.35">
      <c r="A1384" t="s">
        <v>2822</v>
      </c>
      <c r="B1384" s="4" t="s">
        <v>2821</v>
      </c>
      <c r="C1384">
        <v>5</v>
      </c>
      <c r="D1384" s="7">
        <v>7</v>
      </c>
      <c r="E1384">
        <v>1</v>
      </c>
      <c r="F1384" t="s">
        <v>1324</v>
      </c>
      <c r="G1384" t="s">
        <v>46</v>
      </c>
    </row>
    <row r="1385" spans="1:7" x14ac:dyDescent="0.35">
      <c r="A1385" t="s">
        <v>2823</v>
      </c>
      <c r="B1385" s="4" t="s">
        <v>2821</v>
      </c>
      <c r="C1385">
        <v>6</v>
      </c>
      <c r="D1385" s="7">
        <v>5</v>
      </c>
      <c r="E1385">
        <v>1</v>
      </c>
      <c r="F1385" t="s">
        <v>1324</v>
      </c>
      <c r="G1385" t="s">
        <v>46</v>
      </c>
    </row>
    <row r="1386" spans="1:7" x14ac:dyDescent="0.35">
      <c r="A1386" t="s">
        <v>2824</v>
      </c>
      <c r="B1386" s="4" t="s">
        <v>2821</v>
      </c>
      <c r="C1386">
        <v>9</v>
      </c>
      <c r="D1386" s="7">
        <v>5</v>
      </c>
      <c r="E1386">
        <v>1</v>
      </c>
      <c r="F1386" t="s">
        <v>1324</v>
      </c>
      <c r="G1386" t="s">
        <v>46</v>
      </c>
    </row>
    <row r="1387" spans="1:7" x14ac:dyDescent="0.35">
      <c r="A1387" t="s">
        <v>2825</v>
      </c>
      <c r="B1387" s="4" t="s">
        <v>2826</v>
      </c>
      <c r="C1387">
        <v>1</v>
      </c>
      <c r="D1387" s="7">
        <v>1</v>
      </c>
      <c r="E1387">
        <v>1</v>
      </c>
      <c r="F1387" t="s">
        <v>1321</v>
      </c>
      <c r="G1387" t="s">
        <v>46</v>
      </c>
    </row>
    <row r="1388" spans="1:7" x14ac:dyDescent="0.35">
      <c r="A1388" t="s">
        <v>2827</v>
      </c>
      <c r="B1388" s="4" t="s">
        <v>2826</v>
      </c>
      <c r="C1388">
        <v>4</v>
      </c>
      <c r="D1388" s="7">
        <v>7</v>
      </c>
      <c r="E1388">
        <v>1</v>
      </c>
      <c r="F1388" t="s">
        <v>1324</v>
      </c>
      <c r="G1388" t="s">
        <v>46</v>
      </c>
    </row>
    <row r="1389" spans="1:7" x14ac:dyDescent="0.35">
      <c r="A1389" t="s">
        <v>2828</v>
      </c>
      <c r="B1389" s="4" t="s">
        <v>2826</v>
      </c>
      <c r="C1389">
        <v>5</v>
      </c>
      <c r="D1389" s="7">
        <v>7</v>
      </c>
      <c r="E1389">
        <v>1</v>
      </c>
      <c r="F1389" t="s">
        <v>1324</v>
      </c>
      <c r="G1389" t="s">
        <v>46</v>
      </c>
    </row>
    <row r="1390" spans="1:7" x14ac:dyDescent="0.35">
      <c r="A1390" t="s">
        <v>2829</v>
      </c>
      <c r="B1390" s="4" t="s">
        <v>2826</v>
      </c>
      <c r="C1390">
        <v>6</v>
      </c>
      <c r="D1390" s="7">
        <v>6</v>
      </c>
      <c r="E1390">
        <v>1</v>
      </c>
      <c r="F1390" t="s">
        <v>1324</v>
      </c>
      <c r="G1390" t="s">
        <v>46</v>
      </c>
    </row>
    <row r="1391" spans="1:7" x14ac:dyDescent="0.35">
      <c r="A1391" t="s">
        <v>2830</v>
      </c>
      <c r="B1391" s="4" t="s">
        <v>2826</v>
      </c>
      <c r="C1391">
        <v>9</v>
      </c>
      <c r="D1391" s="7">
        <v>6</v>
      </c>
      <c r="E1391">
        <v>1</v>
      </c>
      <c r="F1391" t="s">
        <v>1324</v>
      </c>
      <c r="G1391" t="s">
        <v>46</v>
      </c>
    </row>
    <row r="1392" spans="1:7" x14ac:dyDescent="0.35">
      <c r="A1392" t="s">
        <v>2831</v>
      </c>
      <c r="B1392" s="4" t="s">
        <v>2832</v>
      </c>
      <c r="C1392">
        <v>1</v>
      </c>
      <c r="D1392" s="7">
        <v>5</v>
      </c>
      <c r="E1392">
        <v>1</v>
      </c>
      <c r="F1392" t="s">
        <v>1321</v>
      </c>
      <c r="G1392" t="s">
        <v>46</v>
      </c>
    </row>
    <row r="1393" spans="1:7" x14ac:dyDescent="0.35">
      <c r="A1393" t="s">
        <v>2833</v>
      </c>
      <c r="B1393" s="4" t="s">
        <v>2832</v>
      </c>
      <c r="C1393">
        <v>4</v>
      </c>
      <c r="D1393" s="7">
        <v>15</v>
      </c>
      <c r="E1393">
        <v>1</v>
      </c>
      <c r="F1393" t="s">
        <v>1324</v>
      </c>
      <c r="G1393" t="s">
        <v>46</v>
      </c>
    </row>
    <row r="1394" spans="1:7" x14ac:dyDescent="0.35">
      <c r="A1394" t="s">
        <v>2834</v>
      </c>
      <c r="B1394" s="4" t="s">
        <v>2832</v>
      </c>
      <c r="C1394">
        <v>5</v>
      </c>
      <c r="D1394" s="7">
        <v>13</v>
      </c>
      <c r="E1394">
        <v>1</v>
      </c>
      <c r="F1394" t="s">
        <v>1324</v>
      </c>
      <c r="G1394" t="s">
        <v>46</v>
      </c>
    </row>
    <row r="1395" spans="1:7" x14ac:dyDescent="0.35">
      <c r="A1395" t="s">
        <v>2835</v>
      </c>
      <c r="B1395" s="4" t="s">
        <v>2832</v>
      </c>
      <c r="C1395">
        <v>6</v>
      </c>
      <c r="D1395" s="7">
        <v>11</v>
      </c>
      <c r="E1395">
        <v>1</v>
      </c>
      <c r="F1395" t="s">
        <v>1324</v>
      </c>
      <c r="G1395" t="s">
        <v>46</v>
      </c>
    </row>
    <row r="1396" spans="1:7" x14ac:dyDescent="0.35">
      <c r="A1396" t="s">
        <v>2836</v>
      </c>
      <c r="B1396" s="4" t="s">
        <v>2832</v>
      </c>
      <c r="C1396">
        <v>9</v>
      </c>
      <c r="D1396" s="7">
        <v>13</v>
      </c>
      <c r="E1396">
        <v>1</v>
      </c>
      <c r="F1396" t="s">
        <v>1324</v>
      </c>
      <c r="G1396" t="s">
        <v>46</v>
      </c>
    </row>
    <row r="1397" spans="1:7" x14ac:dyDescent="0.35">
      <c r="A1397" t="s">
        <v>2837</v>
      </c>
      <c r="B1397" s="4" t="s">
        <v>970</v>
      </c>
      <c r="C1397">
        <v>1</v>
      </c>
      <c r="D1397" s="7">
        <v>2</v>
      </c>
      <c r="E1397">
        <v>1</v>
      </c>
      <c r="F1397" t="s">
        <v>1321</v>
      </c>
      <c r="G1397" t="s">
        <v>46</v>
      </c>
    </row>
    <row r="1398" spans="1:7" x14ac:dyDescent="0.35">
      <c r="A1398" t="s">
        <v>2838</v>
      </c>
      <c r="B1398" s="4" t="s">
        <v>970</v>
      </c>
      <c r="C1398">
        <v>4</v>
      </c>
      <c r="D1398" s="7">
        <v>10</v>
      </c>
      <c r="E1398">
        <v>1</v>
      </c>
      <c r="F1398" t="s">
        <v>1324</v>
      </c>
      <c r="G1398" t="s">
        <v>46</v>
      </c>
    </row>
    <row r="1399" spans="1:7" x14ac:dyDescent="0.35">
      <c r="A1399" t="s">
        <v>2839</v>
      </c>
      <c r="B1399" s="4" t="s">
        <v>970</v>
      </c>
      <c r="C1399">
        <v>5</v>
      </c>
      <c r="D1399" s="7">
        <v>8</v>
      </c>
      <c r="E1399">
        <v>1</v>
      </c>
      <c r="F1399" t="s">
        <v>1324</v>
      </c>
      <c r="G1399" t="s">
        <v>46</v>
      </c>
    </row>
    <row r="1400" spans="1:7" x14ac:dyDescent="0.35">
      <c r="A1400" t="s">
        <v>2840</v>
      </c>
      <c r="B1400" s="4" t="s">
        <v>970</v>
      </c>
      <c r="C1400">
        <v>6</v>
      </c>
      <c r="D1400" s="7">
        <v>12</v>
      </c>
      <c r="E1400">
        <v>1</v>
      </c>
      <c r="F1400" t="s">
        <v>1324</v>
      </c>
      <c r="G1400" t="s">
        <v>46</v>
      </c>
    </row>
    <row r="1401" spans="1:7" x14ac:dyDescent="0.35">
      <c r="A1401" t="s">
        <v>2841</v>
      </c>
      <c r="B1401" s="4" t="s">
        <v>970</v>
      </c>
      <c r="C1401">
        <v>9</v>
      </c>
      <c r="D1401" s="7">
        <v>14</v>
      </c>
      <c r="E1401">
        <v>1</v>
      </c>
      <c r="F1401" t="s">
        <v>1324</v>
      </c>
      <c r="G1401" t="s">
        <v>46</v>
      </c>
    </row>
    <row r="1402" spans="1:7" x14ac:dyDescent="0.35">
      <c r="A1402" t="s">
        <v>2842</v>
      </c>
      <c r="B1402" s="4" t="s">
        <v>977</v>
      </c>
      <c r="C1402">
        <v>1</v>
      </c>
      <c r="D1402" s="7">
        <v>3</v>
      </c>
      <c r="E1402">
        <v>1</v>
      </c>
      <c r="F1402" t="s">
        <v>1321</v>
      </c>
      <c r="G1402" t="s">
        <v>46</v>
      </c>
    </row>
    <row r="1403" spans="1:7" x14ac:dyDescent="0.35">
      <c r="A1403" t="s">
        <v>2843</v>
      </c>
      <c r="B1403" s="4" t="s">
        <v>977</v>
      </c>
      <c r="C1403">
        <v>4</v>
      </c>
      <c r="D1403" s="7">
        <v>11</v>
      </c>
      <c r="E1403">
        <v>1</v>
      </c>
      <c r="F1403" t="s">
        <v>1324</v>
      </c>
      <c r="G1403" t="s">
        <v>46</v>
      </c>
    </row>
    <row r="1404" spans="1:7" x14ac:dyDescent="0.35">
      <c r="A1404" t="s">
        <v>2844</v>
      </c>
      <c r="B1404" s="4" t="s">
        <v>977</v>
      </c>
      <c r="C1404">
        <v>5</v>
      </c>
      <c r="D1404" s="7">
        <v>15</v>
      </c>
      <c r="E1404">
        <v>1</v>
      </c>
      <c r="F1404" t="s">
        <v>1324</v>
      </c>
      <c r="G1404" t="s">
        <v>46</v>
      </c>
    </row>
    <row r="1405" spans="1:7" x14ac:dyDescent="0.35">
      <c r="A1405" t="s">
        <v>2845</v>
      </c>
      <c r="B1405" s="4" t="s">
        <v>977</v>
      </c>
      <c r="C1405">
        <v>6</v>
      </c>
      <c r="D1405" s="7">
        <v>13</v>
      </c>
      <c r="E1405">
        <v>1</v>
      </c>
      <c r="F1405" t="s">
        <v>1324</v>
      </c>
      <c r="G1405" t="s">
        <v>46</v>
      </c>
    </row>
    <row r="1406" spans="1:7" x14ac:dyDescent="0.35">
      <c r="A1406" t="s">
        <v>2846</v>
      </c>
      <c r="B1406" s="4" t="s">
        <v>977</v>
      </c>
      <c r="C1406">
        <v>9</v>
      </c>
      <c r="D1406" s="7">
        <v>12</v>
      </c>
      <c r="E1406">
        <v>1</v>
      </c>
      <c r="F1406" t="s">
        <v>1324</v>
      </c>
      <c r="G1406" t="s">
        <v>46</v>
      </c>
    </row>
    <row r="1407" spans="1:7" x14ac:dyDescent="0.35">
      <c r="A1407" t="s">
        <v>2847</v>
      </c>
      <c r="B1407" s="4" t="s">
        <v>982</v>
      </c>
      <c r="C1407">
        <v>4</v>
      </c>
      <c r="D1407" s="7">
        <v>15</v>
      </c>
      <c r="E1407">
        <v>1</v>
      </c>
      <c r="F1407" t="s">
        <v>1324</v>
      </c>
      <c r="G1407" t="s">
        <v>46</v>
      </c>
    </row>
    <row r="1408" spans="1:7" x14ac:dyDescent="0.35">
      <c r="A1408" t="s">
        <v>2848</v>
      </c>
      <c r="B1408" s="4" t="s">
        <v>982</v>
      </c>
      <c r="C1408">
        <v>5</v>
      </c>
      <c r="D1408" s="7">
        <v>15</v>
      </c>
      <c r="E1408">
        <v>1</v>
      </c>
      <c r="F1408" t="s">
        <v>1324</v>
      </c>
      <c r="G1408" t="s">
        <v>46</v>
      </c>
    </row>
    <row r="1409" spans="1:7" x14ac:dyDescent="0.35">
      <c r="A1409" t="s">
        <v>2849</v>
      </c>
      <c r="B1409" s="4" t="s">
        <v>982</v>
      </c>
      <c r="C1409">
        <v>6</v>
      </c>
      <c r="D1409" s="7">
        <v>10</v>
      </c>
      <c r="E1409">
        <v>1</v>
      </c>
      <c r="F1409" t="s">
        <v>1324</v>
      </c>
      <c r="G1409" t="s">
        <v>46</v>
      </c>
    </row>
    <row r="1410" spans="1:7" x14ac:dyDescent="0.35">
      <c r="A1410" t="s">
        <v>2850</v>
      </c>
      <c r="B1410" s="4" t="s">
        <v>982</v>
      </c>
      <c r="C1410">
        <v>9</v>
      </c>
      <c r="D1410" s="7">
        <v>13</v>
      </c>
      <c r="E1410">
        <v>1</v>
      </c>
      <c r="F1410" t="s">
        <v>1324</v>
      </c>
      <c r="G1410" t="s">
        <v>46</v>
      </c>
    </row>
    <row r="1411" spans="1:7" x14ac:dyDescent="0.35">
      <c r="A1411" t="s">
        <v>2851</v>
      </c>
      <c r="B1411" s="4" t="s">
        <v>993</v>
      </c>
      <c r="C1411">
        <v>1</v>
      </c>
      <c r="D1411" s="7">
        <v>5</v>
      </c>
      <c r="E1411">
        <v>1</v>
      </c>
      <c r="F1411" t="s">
        <v>1321</v>
      </c>
      <c r="G1411" t="s">
        <v>46</v>
      </c>
    </row>
    <row r="1412" spans="1:7" x14ac:dyDescent="0.35">
      <c r="A1412" t="s">
        <v>2852</v>
      </c>
      <c r="B1412" s="4" t="s">
        <v>993</v>
      </c>
      <c r="C1412">
        <v>1</v>
      </c>
      <c r="D1412" s="7">
        <v>3</v>
      </c>
      <c r="E1412">
        <v>2</v>
      </c>
      <c r="F1412" t="s">
        <v>1321</v>
      </c>
      <c r="G1412" t="s">
        <v>54</v>
      </c>
    </row>
    <row r="1413" spans="1:7" x14ac:dyDescent="0.35">
      <c r="A1413" t="s">
        <v>2853</v>
      </c>
      <c r="B1413" s="4" t="s">
        <v>993</v>
      </c>
      <c r="C1413">
        <v>4</v>
      </c>
      <c r="D1413" s="7">
        <v>8</v>
      </c>
      <c r="E1413">
        <v>1</v>
      </c>
      <c r="F1413" t="s">
        <v>1324</v>
      </c>
      <c r="G1413" t="s">
        <v>46</v>
      </c>
    </row>
    <row r="1414" spans="1:7" x14ac:dyDescent="0.35">
      <c r="A1414" t="s">
        <v>2854</v>
      </c>
      <c r="B1414" s="4" t="s">
        <v>993</v>
      </c>
      <c r="C1414">
        <v>5</v>
      </c>
      <c r="D1414" s="7">
        <v>8</v>
      </c>
      <c r="E1414">
        <v>1</v>
      </c>
      <c r="F1414" t="s">
        <v>1324</v>
      </c>
      <c r="G1414" t="s">
        <v>46</v>
      </c>
    </row>
    <row r="1415" spans="1:7" x14ac:dyDescent="0.35">
      <c r="A1415" t="s">
        <v>2855</v>
      </c>
      <c r="B1415" s="4" t="s">
        <v>993</v>
      </c>
      <c r="C1415">
        <v>6</v>
      </c>
      <c r="D1415" s="7">
        <v>9</v>
      </c>
      <c r="E1415">
        <v>1</v>
      </c>
      <c r="F1415" t="s">
        <v>1324</v>
      </c>
      <c r="G1415" t="s">
        <v>46</v>
      </c>
    </row>
    <row r="1416" spans="1:7" x14ac:dyDescent="0.35">
      <c r="A1416" t="s">
        <v>2856</v>
      </c>
      <c r="B1416" s="4" t="s">
        <v>993</v>
      </c>
      <c r="C1416">
        <v>9</v>
      </c>
      <c r="D1416" s="7">
        <v>8</v>
      </c>
      <c r="E1416">
        <v>1</v>
      </c>
      <c r="F1416" t="s">
        <v>1324</v>
      </c>
      <c r="G1416" t="s">
        <v>46</v>
      </c>
    </row>
    <row r="1417" spans="1:7" x14ac:dyDescent="0.35">
      <c r="A1417" t="s">
        <v>2857</v>
      </c>
      <c r="B1417" s="4" t="s">
        <v>1002</v>
      </c>
      <c r="C1417">
        <v>4</v>
      </c>
      <c r="D1417" s="7">
        <v>5</v>
      </c>
      <c r="E1417">
        <v>1</v>
      </c>
      <c r="F1417" t="s">
        <v>1324</v>
      </c>
      <c r="G1417" t="s">
        <v>46</v>
      </c>
    </row>
    <row r="1418" spans="1:7" x14ac:dyDescent="0.35">
      <c r="A1418" t="s">
        <v>2858</v>
      </c>
      <c r="B1418" s="4" t="s">
        <v>1002</v>
      </c>
      <c r="C1418">
        <v>5</v>
      </c>
      <c r="D1418" s="7">
        <v>4</v>
      </c>
      <c r="E1418">
        <v>1</v>
      </c>
      <c r="F1418" t="s">
        <v>1324</v>
      </c>
      <c r="G1418" t="s">
        <v>46</v>
      </c>
    </row>
    <row r="1419" spans="1:7" x14ac:dyDescent="0.35">
      <c r="A1419" t="s">
        <v>2859</v>
      </c>
      <c r="B1419" s="4" t="s">
        <v>1002</v>
      </c>
      <c r="C1419">
        <v>6</v>
      </c>
      <c r="D1419" s="7">
        <v>5</v>
      </c>
      <c r="E1419">
        <v>1</v>
      </c>
      <c r="F1419" t="s">
        <v>1324</v>
      </c>
      <c r="G1419" t="s">
        <v>46</v>
      </c>
    </row>
    <row r="1420" spans="1:7" x14ac:dyDescent="0.35">
      <c r="A1420" t="s">
        <v>2860</v>
      </c>
      <c r="B1420" s="4" t="s">
        <v>1002</v>
      </c>
      <c r="C1420">
        <v>9</v>
      </c>
      <c r="D1420" s="7">
        <v>4</v>
      </c>
      <c r="E1420">
        <v>1</v>
      </c>
      <c r="F1420" t="s">
        <v>1324</v>
      </c>
      <c r="G1420" t="s">
        <v>46</v>
      </c>
    </row>
    <row r="1421" spans="1:7" x14ac:dyDescent="0.35">
      <c r="A1421" t="s">
        <v>2861</v>
      </c>
      <c r="B1421" s="4" t="s">
        <v>2862</v>
      </c>
      <c r="C1421">
        <v>1</v>
      </c>
      <c r="D1421" s="7">
        <v>2</v>
      </c>
      <c r="E1421">
        <v>1</v>
      </c>
      <c r="F1421" t="s">
        <v>1321</v>
      </c>
      <c r="G1421" t="s">
        <v>46</v>
      </c>
    </row>
    <row r="1422" spans="1:7" x14ac:dyDescent="0.35">
      <c r="A1422" t="s">
        <v>2863</v>
      </c>
      <c r="B1422" s="4" t="s">
        <v>2862</v>
      </c>
      <c r="C1422">
        <v>4</v>
      </c>
      <c r="D1422" s="7">
        <v>7</v>
      </c>
      <c r="E1422">
        <v>1</v>
      </c>
      <c r="F1422" t="s">
        <v>1324</v>
      </c>
      <c r="G1422" t="s">
        <v>46</v>
      </c>
    </row>
    <row r="1423" spans="1:7" x14ac:dyDescent="0.35">
      <c r="A1423" t="s">
        <v>2864</v>
      </c>
      <c r="B1423" s="4" t="s">
        <v>2862</v>
      </c>
      <c r="C1423">
        <v>5</v>
      </c>
      <c r="D1423" s="7">
        <v>7</v>
      </c>
      <c r="E1423">
        <v>1</v>
      </c>
      <c r="F1423" t="s">
        <v>1324</v>
      </c>
      <c r="G1423" t="s">
        <v>46</v>
      </c>
    </row>
    <row r="1424" spans="1:7" x14ac:dyDescent="0.35">
      <c r="A1424" t="s">
        <v>2865</v>
      </c>
      <c r="B1424" s="4" t="s">
        <v>2862</v>
      </c>
      <c r="C1424">
        <v>6</v>
      </c>
      <c r="D1424" s="7">
        <v>4</v>
      </c>
      <c r="E1424">
        <v>1</v>
      </c>
      <c r="F1424" t="s">
        <v>1324</v>
      </c>
      <c r="G1424" t="s">
        <v>46</v>
      </c>
    </row>
    <row r="1425" spans="1:7" x14ac:dyDescent="0.35">
      <c r="A1425" t="s">
        <v>2866</v>
      </c>
      <c r="B1425" s="4" t="s">
        <v>2862</v>
      </c>
      <c r="C1425">
        <v>9</v>
      </c>
      <c r="D1425" s="7">
        <v>4</v>
      </c>
      <c r="E1425">
        <v>1</v>
      </c>
      <c r="F1425" t="s">
        <v>1324</v>
      </c>
      <c r="G1425" t="s">
        <v>46</v>
      </c>
    </row>
    <row r="1426" spans="1:7" x14ac:dyDescent="0.35">
      <c r="A1426" t="s">
        <v>2867</v>
      </c>
      <c r="B1426" s="4" t="s">
        <v>1006</v>
      </c>
      <c r="C1426">
        <v>4</v>
      </c>
      <c r="D1426" s="7">
        <v>12</v>
      </c>
      <c r="E1426">
        <v>1</v>
      </c>
      <c r="F1426" t="s">
        <v>1324</v>
      </c>
      <c r="G1426" t="s">
        <v>46</v>
      </c>
    </row>
    <row r="1427" spans="1:7" x14ac:dyDescent="0.35">
      <c r="A1427" t="s">
        <v>2868</v>
      </c>
      <c r="B1427" s="4" t="s">
        <v>1006</v>
      </c>
      <c r="C1427">
        <v>5</v>
      </c>
      <c r="D1427" s="7">
        <v>12</v>
      </c>
      <c r="E1427">
        <v>1</v>
      </c>
      <c r="F1427" t="s">
        <v>1324</v>
      </c>
      <c r="G1427" t="s">
        <v>46</v>
      </c>
    </row>
    <row r="1428" spans="1:7" x14ac:dyDescent="0.35">
      <c r="A1428" t="s">
        <v>2869</v>
      </c>
      <c r="B1428" s="4" t="s">
        <v>1006</v>
      </c>
      <c r="C1428">
        <v>6</v>
      </c>
      <c r="D1428" s="7">
        <v>8</v>
      </c>
      <c r="E1428">
        <v>1</v>
      </c>
      <c r="F1428" t="s">
        <v>1324</v>
      </c>
      <c r="G1428" t="s">
        <v>46</v>
      </c>
    </row>
    <row r="1429" spans="1:7" x14ac:dyDescent="0.35">
      <c r="A1429" t="s">
        <v>2870</v>
      </c>
      <c r="B1429" s="4" t="s">
        <v>1006</v>
      </c>
      <c r="C1429">
        <v>9</v>
      </c>
      <c r="D1429" s="7">
        <v>14</v>
      </c>
      <c r="E1429">
        <v>1</v>
      </c>
      <c r="F1429" t="s">
        <v>1324</v>
      </c>
      <c r="G1429" t="s">
        <v>46</v>
      </c>
    </row>
    <row r="1430" spans="1:7" x14ac:dyDescent="0.35">
      <c r="A1430" t="s">
        <v>2871</v>
      </c>
      <c r="B1430" s="4" t="s">
        <v>1012</v>
      </c>
      <c r="C1430">
        <v>4</v>
      </c>
      <c r="D1430" s="7">
        <v>9</v>
      </c>
      <c r="E1430">
        <v>1</v>
      </c>
      <c r="F1430" t="s">
        <v>1324</v>
      </c>
      <c r="G1430" t="s">
        <v>46</v>
      </c>
    </row>
    <row r="1431" spans="1:7" x14ac:dyDescent="0.35">
      <c r="A1431" t="s">
        <v>2872</v>
      </c>
      <c r="B1431" s="4" t="s">
        <v>1012</v>
      </c>
      <c r="C1431">
        <v>5</v>
      </c>
      <c r="D1431" s="7">
        <v>10</v>
      </c>
      <c r="E1431">
        <v>1</v>
      </c>
      <c r="F1431" t="s">
        <v>1324</v>
      </c>
      <c r="G1431" t="s">
        <v>46</v>
      </c>
    </row>
    <row r="1432" spans="1:7" x14ac:dyDescent="0.35">
      <c r="A1432" t="s">
        <v>2873</v>
      </c>
      <c r="B1432" s="4" t="s">
        <v>1012</v>
      </c>
      <c r="C1432">
        <v>6</v>
      </c>
      <c r="D1432" s="7">
        <v>11</v>
      </c>
      <c r="E1432">
        <v>1</v>
      </c>
      <c r="F1432" t="s">
        <v>1324</v>
      </c>
      <c r="G1432" t="s">
        <v>46</v>
      </c>
    </row>
    <row r="1433" spans="1:7" x14ac:dyDescent="0.35">
      <c r="A1433" t="s">
        <v>2874</v>
      </c>
      <c r="B1433" s="4" t="s">
        <v>1012</v>
      </c>
      <c r="C1433">
        <v>9</v>
      </c>
      <c r="D1433" s="7">
        <v>11</v>
      </c>
      <c r="E1433">
        <v>1</v>
      </c>
      <c r="F1433" t="s">
        <v>1324</v>
      </c>
      <c r="G1433" t="s">
        <v>46</v>
      </c>
    </row>
    <row r="1434" spans="1:7" x14ac:dyDescent="0.35">
      <c r="A1434" t="s">
        <v>2875</v>
      </c>
      <c r="B1434" s="4" t="s">
        <v>1024</v>
      </c>
      <c r="C1434">
        <v>1</v>
      </c>
      <c r="D1434" s="7">
        <v>2</v>
      </c>
      <c r="E1434">
        <v>2</v>
      </c>
      <c r="F1434" t="s">
        <v>1321</v>
      </c>
      <c r="G1434" t="s">
        <v>54</v>
      </c>
    </row>
    <row r="1435" spans="1:7" x14ac:dyDescent="0.35">
      <c r="A1435" t="s">
        <v>2876</v>
      </c>
      <c r="B1435" s="4" t="s">
        <v>1024</v>
      </c>
      <c r="C1435">
        <v>4</v>
      </c>
      <c r="D1435" s="7">
        <v>14</v>
      </c>
      <c r="E1435">
        <v>1</v>
      </c>
      <c r="F1435" t="s">
        <v>1324</v>
      </c>
      <c r="G1435" t="s">
        <v>46</v>
      </c>
    </row>
    <row r="1436" spans="1:7" x14ac:dyDescent="0.35">
      <c r="A1436" t="s">
        <v>2877</v>
      </c>
      <c r="B1436" s="4" t="s">
        <v>1024</v>
      </c>
      <c r="C1436">
        <v>5</v>
      </c>
      <c r="D1436" s="7">
        <v>9</v>
      </c>
      <c r="E1436">
        <v>1</v>
      </c>
      <c r="F1436" t="s">
        <v>1324</v>
      </c>
      <c r="G1436" t="s">
        <v>46</v>
      </c>
    </row>
    <row r="1437" spans="1:7" x14ac:dyDescent="0.35">
      <c r="A1437" t="s">
        <v>2878</v>
      </c>
      <c r="B1437" s="4" t="s">
        <v>1024</v>
      </c>
      <c r="C1437">
        <v>6</v>
      </c>
      <c r="D1437" s="7">
        <v>13</v>
      </c>
      <c r="E1437">
        <v>1</v>
      </c>
      <c r="F1437" t="s">
        <v>1324</v>
      </c>
      <c r="G1437" t="s">
        <v>46</v>
      </c>
    </row>
    <row r="1438" spans="1:7" x14ac:dyDescent="0.35">
      <c r="A1438" t="s">
        <v>2879</v>
      </c>
      <c r="B1438" s="4" t="s">
        <v>1024</v>
      </c>
      <c r="C1438">
        <v>9</v>
      </c>
      <c r="D1438" s="7">
        <v>14</v>
      </c>
      <c r="E1438">
        <v>1</v>
      </c>
      <c r="F1438" t="s">
        <v>1324</v>
      </c>
      <c r="G1438" t="s">
        <v>46</v>
      </c>
    </row>
    <row r="1439" spans="1:7" x14ac:dyDescent="0.35">
      <c r="A1439" t="s">
        <v>2880</v>
      </c>
      <c r="B1439" s="4" t="s">
        <v>1031</v>
      </c>
      <c r="C1439">
        <v>1</v>
      </c>
      <c r="D1439" s="7">
        <v>3</v>
      </c>
      <c r="E1439">
        <v>2</v>
      </c>
      <c r="F1439" t="s">
        <v>1321</v>
      </c>
      <c r="G1439" t="s">
        <v>54</v>
      </c>
    </row>
    <row r="1440" spans="1:7" x14ac:dyDescent="0.35">
      <c r="A1440" t="s">
        <v>2881</v>
      </c>
      <c r="B1440" s="4" t="s">
        <v>1031</v>
      </c>
      <c r="C1440">
        <v>4</v>
      </c>
      <c r="D1440" s="7">
        <v>9</v>
      </c>
      <c r="E1440">
        <v>1</v>
      </c>
      <c r="F1440" t="s">
        <v>1324</v>
      </c>
      <c r="G1440" t="s">
        <v>46</v>
      </c>
    </row>
    <row r="1441" spans="1:7" x14ac:dyDescent="0.35">
      <c r="A1441" t="s">
        <v>2882</v>
      </c>
      <c r="B1441" s="4" t="s">
        <v>1031</v>
      </c>
      <c r="C1441">
        <v>5</v>
      </c>
      <c r="D1441" s="7">
        <v>8</v>
      </c>
      <c r="E1441">
        <v>1</v>
      </c>
      <c r="F1441" t="s">
        <v>1324</v>
      </c>
      <c r="G1441" t="s">
        <v>46</v>
      </c>
    </row>
    <row r="1442" spans="1:7" x14ac:dyDescent="0.35">
      <c r="A1442" t="s">
        <v>2883</v>
      </c>
      <c r="B1442" s="4" t="s">
        <v>1031</v>
      </c>
      <c r="C1442">
        <v>6</v>
      </c>
      <c r="D1442" s="7">
        <v>9</v>
      </c>
      <c r="E1442">
        <v>1</v>
      </c>
      <c r="F1442" t="s">
        <v>1324</v>
      </c>
      <c r="G1442" t="s">
        <v>46</v>
      </c>
    </row>
    <row r="1443" spans="1:7" x14ac:dyDescent="0.35">
      <c r="A1443" t="s">
        <v>2884</v>
      </c>
      <c r="B1443" s="4" t="s">
        <v>1031</v>
      </c>
      <c r="C1443">
        <v>9</v>
      </c>
      <c r="D1443" s="7">
        <v>14</v>
      </c>
      <c r="E1443">
        <v>1</v>
      </c>
      <c r="F1443" t="s">
        <v>1324</v>
      </c>
      <c r="G1443" t="s">
        <v>46</v>
      </c>
    </row>
    <row r="1444" spans="1:7" x14ac:dyDescent="0.35">
      <c r="A1444" t="s">
        <v>2885</v>
      </c>
      <c r="B1444" s="4" t="s">
        <v>1036</v>
      </c>
      <c r="C1444">
        <v>1</v>
      </c>
      <c r="D1444" s="7">
        <v>5</v>
      </c>
      <c r="E1444">
        <v>1</v>
      </c>
      <c r="F1444" t="s">
        <v>1321</v>
      </c>
      <c r="G1444" t="s">
        <v>46</v>
      </c>
    </row>
    <row r="1445" spans="1:7" x14ac:dyDescent="0.35">
      <c r="A1445" t="s">
        <v>2886</v>
      </c>
      <c r="B1445" s="4" t="s">
        <v>1036</v>
      </c>
      <c r="C1445">
        <v>1</v>
      </c>
      <c r="D1445" s="7">
        <v>1</v>
      </c>
      <c r="E1445">
        <v>2</v>
      </c>
      <c r="F1445" t="s">
        <v>1321</v>
      </c>
      <c r="G1445" t="s">
        <v>54</v>
      </c>
    </row>
    <row r="1446" spans="1:7" x14ac:dyDescent="0.35">
      <c r="A1446" t="s">
        <v>2887</v>
      </c>
      <c r="B1446" s="4" t="s">
        <v>1036</v>
      </c>
      <c r="C1446">
        <v>4</v>
      </c>
      <c r="D1446" s="7">
        <v>9</v>
      </c>
      <c r="E1446">
        <v>1</v>
      </c>
      <c r="F1446" t="s">
        <v>1324</v>
      </c>
      <c r="G1446" t="s">
        <v>46</v>
      </c>
    </row>
    <row r="1447" spans="1:7" x14ac:dyDescent="0.35">
      <c r="A1447" t="s">
        <v>2888</v>
      </c>
      <c r="B1447" s="4" t="s">
        <v>1036</v>
      </c>
      <c r="C1447">
        <v>5</v>
      </c>
      <c r="D1447" s="7">
        <v>15</v>
      </c>
      <c r="E1447">
        <v>1</v>
      </c>
      <c r="F1447" t="s">
        <v>1324</v>
      </c>
      <c r="G1447" t="s">
        <v>46</v>
      </c>
    </row>
    <row r="1448" spans="1:7" x14ac:dyDescent="0.35">
      <c r="A1448" t="s">
        <v>2889</v>
      </c>
      <c r="B1448" s="4" t="s">
        <v>1036</v>
      </c>
      <c r="C1448">
        <v>6</v>
      </c>
      <c r="D1448" s="7">
        <v>14</v>
      </c>
      <c r="E1448">
        <v>1</v>
      </c>
      <c r="F1448" t="s">
        <v>1324</v>
      </c>
      <c r="G1448" t="s">
        <v>46</v>
      </c>
    </row>
    <row r="1449" spans="1:7" x14ac:dyDescent="0.35">
      <c r="A1449" t="s">
        <v>2890</v>
      </c>
      <c r="B1449" s="4" t="s">
        <v>1036</v>
      </c>
      <c r="C1449">
        <v>9</v>
      </c>
      <c r="D1449" s="7">
        <v>13</v>
      </c>
      <c r="E1449">
        <v>1</v>
      </c>
      <c r="F1449" t="s">
        <v>1324</v>
      </c>
      <c r="G1449" t="s">
        <v>46</v>
      </c>
    </row>
    <row r="1450" spans="1:7" x14ac:dyDescent="0.35">
      <c r="A1450" t="s">
        <v>2891</v>
      </c>
      <c r="B1450" s="4" t="s">
        <v>1043</v>
      </c>
      <c r="C1450">
        <v>4</v>
      </c>
      <c r="D1450" s="7">
        <v>4</v>
      </c>
      <c r="E1450">
        <v>1</v>
      </c>
      <c r="F1450" t="s">
        <v>1324</v>
      </c>
      <c r="G1450" t="s">
        <v>46</v>
      </c>
    </row>
    <row r="1451" spans="1:7" x14ac:dyDescent="0.35">
      <c r="A1451" t="s">
        <v>2892</v>
      </c>
      <c r="B1451" s="4" t="s">
        <v>1043</v>
      </c>
      <c r="C1451">
        <v>5</v>
      </c>
      <c r="D1451" s="7">
        <v>5</v>
      </c>
      <c r="E1451">
        <v>1</v>
      </c>
      <c r="F1451" t="s">
        <v>1324</v>
      </c>
      <c r="G1451" t="s">
        <v>46</v>
      </c>
    </row>
    <row r="1452" spans="1:7" x14ac:dyDescent="0.35">
      <c r="A1452" t="s">
        <v>2893</v>
      </c>
      <c r="B1452" s="4" t="s">
        <v>1043</v>
      </c>
      <c r="C1452">
        <v>6</v>
      </c>
      <c r="D1452" s="7">
        <v>5</v>
      </c>
      <c r="E1452">
        <v>1</v>
      </c>
      <c r="F1452" t="s">
        <v>1324</v>
      </c>
      <c r="G1452" t="s">
        <v>46</v>
      </c>
    </row>
    <row r="1453" spans="1:7" x14ac:dyDescent="0.35">
      <c r="A1453" t="s">
        <v>2894</v>
      </c>
      <c r="B1453" s="4" t="s">
        <v>1043</v>
      </c>
      <c r="C1453">
        <v>9</v>
      </c>
      <c r="D1453" s="7">
        <v>7</v>
      </c>
      <c r="E1453">
        <v>1</v>
      </c>
      <c r="F1453" t="s">
        <v>1324</v>
      </c>
      <c r="G1453" t="s">
        <v>46</v>
      </c>
    </row>
    <row r="1454" spans="1:7" x14ac:dyDescent="0.35">
      <c r="A1454" t="s">
        <v>2895</v>
      </c>
      <c r="B1454" s="4" t="s">
        <v>1046</v>
      </c>
      <c r="C1454">
        <v>4</v>
      </c>
      <c r="D1454" s="7">
        <v>4</v>
      </c>
      <c r="E1454">
        <v>1</v>
      </c>
      <c r="F1454" t="s">
        <v>1324</v>
      </c>
      <c r="G1454" t="s">
        <v>46</v>
      </c>
    </row>
    <row r="1455" spans="1:7" x14ac:dyDescent="0.35">
      <c r="A1455" t="s">
        <v>2896</v>
      </c>
      <c r="B1455" s="4" t="s">
        <v>1046</v>
      </c>
      <c r="C1455">
        <v>5</v>
      </c>
      <c r="D1455" s="7">
        <v>5</v>
      </c>
      <c r="E1455">
        <v>1</v>
      </c>
      <c r="F1455" t="s">
        <v>1324</v>
      </c>
      <c r="G1455" t="s">
        <v>46</v>
      </c>
    </row>
    <row r="1456" spans="1:7" x14ac:dyDescent="0.35">
      <c r="A1456" t="s">
        <v>2897</v>
      </c>
      <c r="B1456" s="4" t="s">
        <v>1046</v>
      </c>
      <c r="C1456">
        <v>6</v>
      </c>
      <c r="D1456" s="7">
        <v>6</v>
      </c>
      <c r="E1456">
        <v>1</v>
      </c>
      <c r="F1456" t="s">
        <v>1324</v>
      </c>
      <c r="G1456" t="s">
        <v>46</v>
      </c>
    </row>
    <row r="1457" spans="1:7" x14ac:dyDescent="0.35">
      <c r="A1457" t="s">
        <v>2898</v>
      </c>
      <c r="B1457" s="4" t="s">
        <v>1046</v>
      </c>
      <c r="C1457">
        <v>9</v>
      </c>
      <c r="D1457" s="7">
        <v>4</v>
      </c>
      <c r="E1457">
        <v>1</v>
      </c>
      <c r="F1457" t="s">
        <v>1324</v>
      </c>
      <c r="G1457" t="s">
        <v>46</v>
      </c>
    </row>
    <row r="1458" spans="1:7" x14ac:dyDescent="0.35">
      <c r="A1458" t="s">
        <v>2899</v>
      </c>
      <c r="B1458" s="4" t="s">
        <v>2900</v>
      </c>
      <c r="C1458">
        <v>4</v>
      </c>
      <c r="D1458" s="7">
        <v>14</v>
      </c>
      <c r="E1458">
        <v>1</v>
      </c>
      <c r="F1458" t="s">
        <v>1324</v>
      </c>
      <c r="G1458" t="s">
        <v>46</v>
      </c>
    </row>
    <row r="1459" spans="1:7" x14ac:dyDescent="0.35">
      <c r="A1459" t="s">
        <v>2901</v>
      </c>
      <c r="B1459" s="4" t="s">
        <v>2900</v>
      </c>
      <c r="C1459">
        <v>5</v>
      </c>
      <c r="D1459" s="7">
        <v>9</v>
      </c>
      <c r="E1459">
        <v>1</v>
      </c>
      <c r="F1459" t="s">
        <v>1324</v>
      </c>
      <c r="G1459" t="s">
        <v>46</v>
      </c>
    </row>
    <row r="1460" spans="1:7" x14ac:dyDescent="0.35">
      <c r="A1460" t="s">
        <v>2902</v>
      </c>
      <c r="B1460" s="4" t="s">
        <v>2900</v>
      </c>
      <c r="C1460">
        <v>6</v>
      </c>
      <c r="D1460" s="7">
        <v>12</v>
      </c>
      <c r="E1460">
        <v>1</v>
      </c>
      <c r="F1460" t="s">
        <v>1324</v>
      </c>
      <c r="G1460" t="s">
        <v>46</v>
      </c>
    </row>
    <row r="1461" spans="1:7" x14ac:dyDescent="0.35">
      <c r="A1461" t="s">
        <v>2903</v>
      </c>
      <c r="B1461" s="4" t="s">
        <v>2900</v>
      </c>
      <c r="C1461">
        <v>9</v>
      </c>
      <c r="D1461" s="7">
        <v>10</v>
      </c>
      <c r="E1461">
        <v>1</v>
      </c>
      <c r="F1461" t="s">
        <v>1324</v>
      </c>
      <c r="G1461" t="s">
        <v>46</v>
      </c>
    </row>
    <row r="1462" spans="1:7" x14ac:dyDescent="0.35">
      <c r="A1462" t="s">
        <v>2904</v>
      </c>
      <c r="B1462" s="4" t="s">
        <v>1049</v>
      </c>
      <c r="C1462">
        <v>4</v>
      </c>
      <c r="D1462" s="7">
        <v>13</v>
      </c>
      <c r="E1462">
        <v>1</v>
      </c>
      <c r="F1462" t="s">
        <v>1324</v>
      </c>
      <c r="G1462" t="s">
        <v>46</v>
      </c>
    </row>
    <row r="1463" spans="1:7" x14ac:dyDescent="0.35">
      <c r="A1463" t="s">
        <v>2905</v>
      </c>
      <c r="B1463" s="4" t="s">
        <v>1049</v>
      </c>
      <c r="C1463">
        <v>5</v>
      </c>
      <c r="D1463" s="7">
        <v>14</v>
      </c>
      <c r="E1463">
        <v>1</v>
      </c>
      <c r="F1463" t="s">
        <v>1324</v>
      </c>
      <c r="G1463" t="s">
        <v>46</v>
      </c>
    </row>
    <row r="1464" spans="1:7" x14ac:dyDescent="0.35">
      <c r="A1464" t="s">
        <v>2906</v>
      </c>
      <c r="B1464" s="4" t="s">
        <v>1049</v>
      </c>
      <c r="C1464">
        <v>6</v>
      </c>
      <c r="D1464" s="7">
        <v>10</v>
      </c>
      <c r="E1464">
        <v>1</v>
      </c>
      <c r="F1464" t="s">
        <v>1324</v>
      </c>
      <c r="G1464" t="s">
        <v>46</v>
      </c>
    </row>
    <row r="1465" spans="1:7" x14ac:dyDescent="0.35">
      <c r="A1465" t="s">
        <v>2907</v>
      </c>
      <c r="B1465" s="4" t="s">
        <v>1049</v>
      </c>
      <c r="C1465">
        <v>9</v>
      </c>
      <c r="D1465" s="7">
        <v>9</v>
      </c>
      <c r="E1465">
        <v>1</v>
      </c>
      <c r="F1465" t="s">
        <v>1324</v>
      </c>
      <c r="G1465" t="s">
        <v>46</v>
      </c>
    </row>
    <row r="1466" spans="1:7" x14ac:dyDescent="0.35">
      <c r="A1466" t="s">
        <v>2908</v>
      </c>
      <c r="B1466" s="4" t="s">
        <v>1056</v>
      </c>
      <c r="C1466">
        <v>4</v>
      </c>
      <c r="D1466" s="7">
        <v>14</v>
      </c>
      <c r="E1466">
        <v>1</v>
      </c>
      <c r="F1466" t="s">
        <v>1324</v>
      </c>
      <c r="G1466" t="s">
        <v>46</v>
      </c>
    </row>
    <row r="1467" spans="1:7" x14ac:dyDescent="0.35">
      <c r="A1467" t="s">
        <v>2909</v>
      </c>
      <c r="B1467" s="4" t="s">
        <v>1056</v>
      </c>
      <c r="C1467">
        <v>5</v>
      </c>
      <c r="D1467" s="7">
        <v>11</v>
      </c>
      <c r="E1467">
        <v>1</v>
      </c>
      <c r="F1467" t="s">
        <v>1324</v>
      </c>
      <c r="G1467" t="s">
        <v>46</v>
      </c>
    </row>
    <row r="1468" spans="1:7" x14ac:dyDescent="0.35">
      <c r="A1468" t="s">
        <v>2910</v>
      </c>
      <c r="B1468" s="4" t="s">
        <v>1056</v>
      </c>
      <c r="C1468">
        <v>6</v>
      </c>
      <c r="D1468" s="7">
        <v>9</v>
      </c>
      <c r="E1468">
        <v>1</v>
      </c>
      <c r="F1468" t="s">
        <v>1324</v>
      </c>
      <c r="G1468" t="s">
        <v>46</v>
      </c>
    </row>
    <row r="1469" spans="1:7" x14ac:dyDescent="0.35">
      <c r="A1469" t="s">
        <v>2911</v>
      </c>
      <c r="B1469" s="4" t="s">
        <v>1056</v>
      </c>
      <c r="C1469">
        <v>9</v>
      </c>
      <c r="D1469" s="7">
        <v>13</v>
      </c>
      <c r="E1469">
        <v>1</v>
      </c>
      <c r="F1469" t="s">
        <v>1324</v>
      </c>
      <c r="G1469" t="s">
        <v>46</v>
      </c>
    </row>
    <row r="1470" spans="1:7" x14ac:dyDescent="0.35">
      <c r="A1470" t="s">
        <v>2912</v>
      </c>
      <c r="B1470" s="4" t="s">
        <v>1060</v>
      </c>
      <c r="C1470">
        <v>4</v>
      </c>
      <c r="D1470" s="7">
        <v>13</v>
      </c>
      <c r="E1470">
        <v>1</v>
      </c>
      <c r="F1470" t="s">
        <v>1324</v>
      </c>
      <c r="G1470" t="s">
        <v>46</v>
      </c>
    </row>
    <row r="1471" spans="1:7" x14ac:dyDescent="0.35">
      <c r="A1471" t="s">
        <v>2913</v>
      </c>
      <c r="B1471" s="4" t="s">
        <v>1060</v>
      </c>
      <c r="C1471">
        <v>5</v>
      </c>
      <c r="D1471" s="7">
        <v>8</v>
      </c>
      <c r="E1471">
        <v>1</v>
      </c>
      <c r="F1471" t="s">
        <v>1324</v>
      </c>
      <c r="G1471" t="s">
        <v>46</v>
      </c>
    </row>
    <row r="1472" spans="1:7" x14ac:dyDescent="0.35">
      <c r="A1472" t="s">
        <v>2914</v>
      </c>
      <c r="B1472" s="4" t="s">
        <v>1060</v>
      </c>
      <c r="C1472">
        <v>6</v>
      </c>
      <c r="D1472" s="7">
        <v>12</v>
      </c>
      <c r="E1472">
        <v>1</v>
      </c>
      <c r="F1472" t="s">
        <v>1324</v>
      </c>
      <c r="G1472" t="s">
        <v>46</v>
      </c>
    </row>
    <row r="1473" spans="1:7" x14ac:dyDescent="0.35">
      <c r="A1473" t="s">
        <v>2915</v>
      </c>
      <c r="B1473" s="4" t="s">
        <v>1060</v>
      </c>
      <c r="C1473">
        <v>9</v>
      </c>
      <c r="D1473" s="7">
        <v>15</v>
      </c>
      <c r="E1473">
        <v>1</v>
      </c>
      <c r="F1473" t="s">
        <v>1324</v>
      </c>
      <c r="G1473" t="s">
        <v>46</v>
      </c>
    </row>
    <row r="1474" spans="1:7" x14ac:dyDescent="0.35">
      <c r="A1474" t="s">
        <v>2916</v>
      </c>
      <c r="B1474" s="4" t="s">
        <v>1064</v>
      </c>
      <c r="C1474">
        <v>4</v>
      </c>
      <c r="D1474" s="7">
        <v>14</v>
      </c>
      <c r="E1474">
        <v>1</v>
      </c>
      <c r="F1474" t="s">
        <v>1324</v>
      </c>
      <c r="G1474" t="s">
        <v>46</v>
      </c>
    </row>
    <row r="1475" spans="1:7" x14ac:dyDescent="0.35">
      <c r="A1475" t="s">
        <v>2917</v>
      </c>
      <c r="B1475" s="4" t="s">
        <v>1064</v>
      </c>
      <c r="C1475">
        <v>5</v>
      </c>
      <c r="D1475" s="7">
        <v>10</v>
      </c>
      <c r="E1475">
        <v>1</v>
      </c>
      <c r="F1475" t="s">
        <v>1324</v>
      </c>
      <c r="G1475" t="s">
        <v>46</v>
      </c>
    </row>
    <row r="1476" spans="1:7" x14ac:dyDescent="0.35">
      <c r="A1476" t="s">
        <v>2918</v>
      </c>
      <c r="B1476" s="4" t="s">
        <v>1064</v>
      </c>
      <c r="C1476">
        <v>6</v>
      </c>
      <c r="D1476" s="7">
        <v>14</v>
      </c>
      <c r="E1476">
        <v>1</v>
      </c>
      <c r="F1476" t="s">
        <v>1324</v>
      </c>
      <c r="G1476" t="s">
        <v>46</v>
      </c>
    </row>
    <row r="1477" spans="1:7" x14ac:dyDescent="0.35">
      <c r="A1477" t="s">
        <v>2919</v>
      </c>
      <c r="B1477" s="4" t="s">
        <v>1064</v>
      </c>
      <c r="C1477">
        <v>9</v>
      </c>
      <c r="D1477" s="7">
        <v>9</v>
      </c>
      <c r="E1477">
        <v>1</v>
      </c>
      <c r="F1477" t="s">
        <v>1324</v>
      </c>
      <c r="G1477" t="s">
        <v>46</v>
      </c>
    </row>
    <row r="1478" spans="1:7" x14ac:dyDescent="0.35">
      <c r="A1478" t="s">
        <v>2920</v>
      </c>
      <c r="B1478" s="4" t="s">
        <v>2921</v>
      </c>
      <c r="C1478">
        <v>4</v>
      </c>
      <c r="D1478" s="7">
        <v>4</v>
      </c>
      <c r="E1478">
        <v>1</v>
      </c>
      <c r="F1478" t="s">
        <v>1324</v>
      </c>
      <c r="G1478" t="s">
        <v>46</v>
      </c>
    </row>
    <row r="1479" spans="1:7" x14ac:dyDescent="0.35">
      <c r="A1479" t="s">
        <v>2922</v>
      </c>
      <c r="B1479" s="4" t="s">
        <v>2921</v>
      </c>
      <c r="C1479">
        <v>5</v>
      </c>
      <c r="D1479" s="7">
        <v>6</v>
      </c>
      <c r="E1479">
        <v>1</v>
      </c>
      <c r="F1479" t="s">
        <v>1324</v>
      </c>
      <c r="G1479" t="s">
        <v>46</v>
      </c>
    </row>
    <row r="1480" spans="1:7" x14ac:dyDescent="0.35">
      <c r="A1480" t="s">
        <v>2923</v>
      </c>
      <c r="B1480" s="4" t="s">
        <v>2921</v>
      </c>
      <c r="C1480">
        <v>6</v>
      </c>
      <c r="D1480" s="7">
        <v>5</v>
      </c>
      <c r="E1480">
        <v>1</v>
      </c>
      <c r="F1480" t="s">
        <v>1324</v>
      </c>
      <c r="G1480" t="s">
        <v>46</v>
      </c>
    </row>
    <row r="1481" spans="1:7" x14ac:dyDescent="0.35">
      <c r="A1481" t="s">
        <v>2924</v>
      </c>
      <c r="B1481" s="4" t="s">
        <v>2921</v>
      </c>
      <c r="C1481">
        <v>9</v>
      </c>
      <c r="D1481" s="7">
        <v>7</v>
      </c>
      <c r="E1481">
        <v>1</v>
      </c>
      <c r="F1481" t="s">
        <v>1324</v>
      </c>
      <c r="G1481" t="s">
        <v>46</v>
      </c>
    </row>
    <row r="1482" spans="1:7" x14ac:dyDescent="0.35">
      <c r="A1482" t="s">
        <v>2925</v>
      </c>
      <c r="B1482" s="4" t="s">
        <v>1067</v>
      </c>
      <c r="C1482">
        <v>4</v>
      </c>
      <c r="D1482" s="7">
        <v>6</v>
      </c>
      <c r="E1482">
        <v>1</v>
      </c>
      <c r="F1482" t="s">
        <v>1324</v>
      </c>
      <c r="G1482" t="s">
        <v>46</v>
      </c>
    </row>
    <row r="1483" spans="1:7" x14ac:dyDescent="0.35">
      <c r="A1483" t="s">
        <v>2926</v>
      </c>
      <c r="B1483" s="4" t="s">
        <v>1067</v>
      </c>
      <c r="C1483">
        <v>5</v>
      </c>
      <c r="D1483" s="7">
        <v>6</v>
      </c>
      <c r="E1483">
        <v>1</v>
      </c>
      <c r="F1483" t="s">
        <v>1324</v>
      </c>
      <c r="G1483" t="s">
        <v>46</v>
      </c>
    </row>
    <row r="1484" spans="1:7" x14ac:dyDescent="0.35">
      <c r="A1484" t="s">
        <v>2927</v>
      </c>
      <c r="B1484" s="4" t="s">
        <v>1067</v>
      </c>
      <c r="C1484">
        <v>6</v>
      </c>
      <c r="D1484" s="7">
        <v>4</v>
      </c>
      <c r="E1484">
        <v>1</v>
      </c>
      <c r="F1484" t="s">
        <v>1324</v>
      </c>
      <c r="G1484" t="s">
        <v>46</v>
      </c>
    </row>
    <row r="1485" spans="1:7" x14ac:dyDescent="0.35">
      <c r="A1485" t="s">
        <v>2928</v>
      </c>
      <c r="B1485" s="4" t="s">
        <v>1067</v>
      </c>
      <c r="C1485">
        <v>9</v>
      </c>
      <c r="D1485" s="7">
        <v>4</v>
      </c>
      <c r="E1485">
        <v>1</v>
      </c>
      <c r="F1485" t="s">
        <v>1324</v>
      </c>
      <c r="G1485" t="s">
        <v>46</v>
      </c>
    </row>
    <row r="1486" spans="1:7" x14ac:dyDescent="0.35">
      <c r="A1486" t="s">
        <v>2929</v>
      </c>
      <c r="B1486" s="4" t="s">
        <v>2930</v>
      </c>
      <c r="C1486">
        <v>1</v>
      </c>
      <c r="D1486" s="7">
        <v>4</v>
      </c>
      <c r="E1486">
        <v>1</v>
      </c>
      <c r="F1486" t="s">
        <v>1321</v>
      </c>
      <c r="G1486" t="s">
        <v>46</v>
      </c>
    </row>
    <row r="1487" spans="1:7" x14ac:dyDescent="0.35">
      <c r="A1487" t="s">
        <v>2931</v>
      </c>
      <c r="B1487" s="4" t="s">
        <v>2930</v>
      </c>
      <c r="C1487">
        <v>4</v>
      </c>
      <c r="D1487" s="7">
        <v>9</v>
      </c>
      <c r="E1487">
        <v>1</v>
      </c>
      <c r="F1487" t="s">
        <v>1324</v>
      </c>
      <c r="G1487" t="s">
        <v>46</v>
      </c>
    </row>
    <row r="1488" spans="1:7" x14ac:dyDescent="0.35">
      <c r="A1488" t="s">
        <v>2932</v>
      </c>
      <c r="B1488" s="4" t="s">
        <v>2930</v>
      </c>
      <c r="C1488">
        <v>5</v>
      </c>
      <c r="D1488" s="7">
        <v>10</v>
      </c>
      <c r="E1488">
        <v>1</v>
      </c>
      <c r="F1488" t="s">
        <v>1324</v>
      </c>
      <c r="G1488" t="s">
        <v>46</v>
      </c>
    </row>
    <row r="1489" spans="1:7" x14ac:dyDescent="0.35">
      <c r="A1489" t="s">
        <v>2933</v>
      </c>
      <c r="B1489" s="4" t="s">
        <v>2930</v>
      </c>
      <c r="C1489">
        <v>6</v>
      </c>
      <c r="D1489" s="7">
        <v>9</v>
      </c>
      <c r="E1489">
        <v>1</v>
      </c>
      <c r="F1489" t="s">
        <v>1324</v>
      </c>
      <c r="G1489" t="s">
        <v>46</v>
      </c>
    </row>
    <row r="1490" spans="1:7" x14ac:dyDescent="0.35">
      <c r="A1490" t="s">
        <v>2934</v>
      </c>
      <c r="B1490" s="4" t="s">
        <v>2930</v>
      </c>
      <c r="C1490">
        <v>9</v>
      </c>
      <c r="D1490" s="7">
        <v>10</v>
      </c>
      <c r="E1490">
        <v>1</v>
      </c>
      <c r="F1490" t="s">
        <v>1324</v>
      </c>
      <c r="G1490" t="s">
        <v>46</v>
      </c>
    </row>
    <row r="1491" spans="1:7" x14ac:dyDescent="0.35">
      <c r="A1491" t="s">
        <v>2935</v>
      </c>
      <c r="B1491" s="4" t="s">
        <v>2936</v>
      </c>
      <c r="C1491">
        <v>4</v>
      </c>
      <c r="D1491" s="7">
        <v>9</v>
      </c>
      <c r="E1491">
        <v>1</v>
      </c>
      <c r="F1491" t="s">
        <v>1324</v>
      </c>
      <c r="G1491" t="s">
        <v>46</v>
      </c>
    </row>
    <row r="1492" spans="1:7" x14ac:dyDescent="0.35">
      <c r="A1492" t="s">
        <v>2937</v>
      </c>
      <c r="B1492" s="4" t="s">
        <v>2936</v>
      </c>
      <c r="C1492">
        <v>5</v>
      </c>
      <c r="D1492" s="7">
        <v>8</v>
      </c>
      <c r="E1492">
        <v>1</v>
      </c>
      <c r="F1492" t="s">
        <v>1324</v>
      </c>
      <c r="G1492" t="s">
        <v>46</v>
      </c>
    </row>
    <row r="1493" spans="1:7" x14ac:dyDescent="0.35">
      <c r="A1493" t="s">
        <v>2938</v>
      </c>
      <c r="B1493" s="4" t="s">
        <v>2936</v>
      </c>
      <c r="C1493">
        <v>6</v>
      </c>
      <c r="D1493" s="7">
        <v>9</v>
      </c>
      <c r="E1493">
        <v>1</v>
      </c>
      <c r="F1493" t="s">
        <v>1324</v>
      </c>
      <c r="G1493" t="s">
        <v>46</v>
      </c>
    </row>
    <row r="1494" spans="1:7" x14ac:dyDescent="0.35">
      <c r="A1494" t="s">
        <v>2939</v>
      </c>
      <c r="B1494" s="4" t="s">
        <v>2936</v>
      </c>
      <c r="C1494">
        <v>9</v>
      </c>
      <c r="D1494" s="7">
        <v>13</v>
      </c>
      <c r="E1494">
        <v>1</v>
      </c>
      <c r="F1494" t="s">
        <v>1324</v>
      </c>
      <c r="G1494" t="s">
        <v>46</v>
      </c>
    </row>
    <row r="1495" spans="1:7" x14ac:dyDescent="0.35">
      <c r="A1495" t="s">
        <v>2940</v>
      </c>
      <c r="B1495" s="4" t="s">
        <v>2941</v>
      </c>
      <c r="C1495">
        <v>4</v>
      </c>
      <c r="D1495" s="7">
        <v>14</v>
      </c>
      <c r="E1495">
        <v>1</v>
      </c>
      <c r="F1495" t="s">
        <v>1324</v>
      </c>
      <c r="G1495" t="s">
        <v>46</v>
      </c>
    </row>
    <row r="1496" spans="1:7" x14ac:dyDescent="0.35">
      <c r="A1496" t="s">
        <v>2942</v>
      </c>
      <c r="B1496" s="4" t="s">
        <v>2941</v>
      </c>
      <c r="C1496">
        <v>5</v>
      </c>
      <c r="D1496" s="7">
        <v>8</v>
      </c>
      <c r="E1496">
        <v>1</v>
      </c>
      <c r="F1496" t="s">
        <v>1324</v>
      </c>
      <c r="G1496" t="s">
        <v>46</v>
      </c>
    </row>
    <row r="1497" spans="1:7" x14ac:dyDescent="0.35">
      <c r="A1497" t="s">
        <v>2943</v>
      </c>
      <c r="B1497" s="4" t="s">
        <v>2941</v>
      </c>
      <c r="C1497">
        <v>6</v>
      </c>
      <c r="D1497" s="7">
        <v>12</v>
      </c>
      <c r="E1497">
        <v>1</v>
      </c>
      <c r="F1497" t="s">
        <v>1324</v>
      </c>
      <c r="G1497" t="s">
        <v>46</v>
      </c>
    </row>
    <row r="1498" spans="1:7" x14ac:dyDescent="0.35">
      <c r="A1498" t="s">
        <v>2944</v>
      </c>
      <c r="B1498" s="4" t="s">
        <v>2941</v>
      </c>
      <c r="C1498">
        <v>9</v>
      </c>
      <c r="D1498" s="7">
        <v>14</v>
      </c>
      <c r="E1498">
        <v>1</v>
      </c>
      <c r="F1498" t="s">
        <v>1324</v>
      </c>
      <c r="G1498" t="s">
        <v>46</v>
      </c>
    </row>
    <row r="1499" spans="1:7" x14ac:dyDescent="0.35">
      <c r="A1499" t="s">
        <v>2945</v>
      </c>
      <c r="B1499" s="4" t="s">
        <v>2946</v>
      </c>
      <c r="C1499">
        <v>1</v>
      </c>
      <c r="D1499" s="7">
        <v>2</v>
      </c>
      <c r="E1499">
        <v>1</v>
      </c>
      <c r="F1499" t="s">
        <v>1321</v>
      </c>
      <c r="G1499" t="s">
        <v>46</v>
      </c>
    </row>
    <row r="1500" spans="1:7" x14ac:dyDescent="0.35">
      <c r="A1500" t="s">
        <v>2947</v>
      </c>
      <c r="B1500" s="4" t="s">
        <v>2946</v>
      </c>
      <c r="C1500">
        <v>4</v>
      </c>
      <c r="D1500" s="7">
        <v>11</v>
      </c>
      <c r="E1500">
        <v>1</v>
      </c>
      <c r="F1500" t="s">
        <v>1324</v>
      </c>
      <c r="G1500" t="s">
        <v>46</v>
      </c>
    </row>
    <row r="1501" spans="1:7" x14ac:dyDescent="0.35">
      <c r="A1501" t="s">
        <v>2948</v>
      </c>
      <c r="B1501" s="4" t="s">
        <v>2946</v>
      </c>
      <c r="C1501">
        <v>5</v>
      </c>
      <c r="D1501" s="7">
        <v>10</v>
      </c>
      <c r="E1501">
        <v>1</v>
      </c>
      <c r="F1501" t="s">
        <v>1324</v>
      </c>
      <c r="G1501" t="s">
        <v>46</v>
      </c>
    </row>
    <row r="1502" spans="1:7" x14ac:dyDescent="0.35">
      <c r="A1502" t="s">
        <v>2949</v>
      </c>
      <c r="B1502" s="4" t="s">
        <v>2946</v>
      </c>
      <c r="C1502">
        <v>6</v>
      </c>
      <c r="D1502" s="7">
        <v>14</v>
      </c>
      <c r="E1502">
        <v>1</v>
      </c>
      <c r="F1502" t="s">
        <v>1324</v>
      </c>
      <c r="G1502" t="s">
        <v>46</v>
      </c>
    </row>
    <row r="1503" spans="1:7" x14ac:dyDescent="0.35">
      <c r="A1503" t="s">
        <v>2950</v>
      </c>
      <c r="B1503" s="4" t="s">
        <v>2946</v>
      </c>
      <c r="C1503">
        <v>9</v>
      </c>
      <c r="D1503" s="7">
        <v>10</v>
      </c>
      <c r="E1503">
        <v>1</v>
      </c>
      <c r="F1503" t="s">
        <v>1324</v>
      </c>
      <c r="G1503" t="s">
        <v>46</v>
      </c>
    </row>
    <row r="1504" spans="1:7" x14ac:dyDescent="0.35">
      <c r="A1504" t="s">
        <v>2951</v>
      </c>
      <c r="B1504" s="4" t="s">
        <v>1069</v>
      </c>
      <c r="C1504">
        <v>1</v>
      </c>
      <c r="D1504" s="7">
        <v>4</v>
      </c>
      <c r="E1504">
        <v>1</v>
      </c>
      <c r="F1504" t="s">
        <v>1321</v>
      </c>
      <c r="G1504" t="s">
        <v>46</v>
      </c>
    </row>
    <row r="1505" spans="1:7" x14ac:dyDescent="0.35">
      <c r="A1505" t="s">
        <v>2952</v>
      </c>
      <c r="B1505" s="4" t="s">
        <v>1069</v>
      </c>
      <c r="C1505">
        <v>1</v>
      </c>
      <c r="D1505" s="7">
        <v>1</v>
      </c>
      <c r="E1505">
        <v>2</v>
      </c>
      <c r="F1505" t="s">
        <v>1321</v>
      </c>
      <c r="G1505" t="s">
        <v>54</v>
      </c>
    </row>
    <row r="1506" spans="1:7" x14ac:dyDescent="0.35">
      <c r="A1506" t="s">
        <v>2953</v>
      </c>
      <c r="B1506" s="4" t="s">
        <v>1069</v>
      </c>
      <c r="C1506">
        <v>4</v>
      </c>
      <c r="D1506" s="7">
        <v>14</v>
      </c>
      <c r="E1506">
        <v>1</v>
      </c>
      <c r="F1506" t="s">
        <v>1324</v>
      </c>
      <c r="G1506" t="s">
        <v>46</v>
      </c>
    </row>
    <row r="1507" spans="1:7" x14ac:dyDescent="0.35">
      <c r="A1507" t="s">
        <v>2954</v>
      </c>
      <c r="B1507" s="4" t="s">
        <v>1069</v>
      </c>
      <c r="C1507">
        <v>5</v>
      </c>
      <c r="D1507" s="7">
        <v>12</v>
      </c>
      <c r="E1507">
        <v>1</v>
      </c>
      <c r="F1507" t="s">
        <v>1324</v>
      </c>
      <c r="G1507" t="s">
        <v>46</v>
      </c>
    </row>
    <row r="1508" spans="1:7" x14ac:dyDescent="0.35">
      <c r="A1508" t="s">
        <v>2955</v>
      </c>
      <c r="B1508" s="4" t="s">
        <v>1069</v>
      </c>
      <c r="C1508">
        <v>6</v>
      </c>
      <c r="D1508" s="7">
        <v>14</v>
      </c>
      <c r="E1508">
        <v>1</v>
      </c>
      <c r="F1508" t="s">
        <v>1324</v>
      </c>
      <c r="G1508" t="s">
        <v>46</v>
      </c>
    </row>
    <row r="1509" spans="1:7" x14ac:dyDescent="0.35">
      <c r="A1509" t="s">
        <v>2956</v>
      </c>
      <c r="B1509" s="4" t="s">
        <v>1069</v>
      </c>
      <c r="C1509">
        <v>9</v>
      </c>
      <c r="D1509" s="7">
        <v>12</v>
      </c>
      <c r="E1509">
        <v>1</v>
      </c>
      <c r="F1509" t="s">
        <v>1324</v>
      </c>
      <c r="G1509" t="s">
        <v>46</v>
      </c>
    </row>
    <row r="1510" spans="1:7" x14ac:dyDescent="0.35">
      <c r="A1510" t="s">
        <v>2957</v>
      </c>
      <c r="B1510" s="4" t="s">
        <v>1074</v>
      </c>
      <c r="C1510">
        <v>4</v>
      </c>
      <c r="D1510" s="7">
        <v>7</v>
      </c>
      <c r="E1510">
        <v>1</v>
      </c>
      <c r="F1510" t="s">
        <v>1324</v>
      </c>
      <c r="G1510" t="s">
        <v>46</v>
      </c>
    </row>
    <row r="1511" spans="1:7" x14ac:dyDescent="0.35">
      <c r="A1511" t="s">
        <v>2958</v>
      </c>
      <c r="B1511" s="4" t="s">
        <v>1074</v>
      </c>
      <c r="C1511">
        <v>5</v>
      </c>
      <c r="D1511" s="7">
        <v>5</v>
      </c>
      <c r="E1511">
        <v>1</v>
      </c>
      <c r="F1511" t="s">
        <v>1324</v>
      </c>
      <c r="G1511" t="s">
        <v>46</v>
      </c>
    </row>
    <row r="1512" spans="1:7" x14ac:dyDescent="0.35">
      <c r="A1512" t="s">
        <v>2959</v>
      </c>
      <c r="B1512" s="4" t="s">
        <v>1074</v>
      </c>
      <c r="C1512">
        <v>6</v>
      </c>
      <c r="D1512" s="7">
        <v>7</v>
      </c>
      <c r="E1512">
        <v>1</v>
      </c>
      <c r="F1512" t="s">
        <v>1324</v>
      </c>
      <c r="G1512" t="s">
        <v>46</v>
      </c>
    </row>
    <row r="1513" spans="1:7" x14ac:dyDescent="0.35">
      <c r="A1513" t="s">
        <v>2960</v>
      </c>
      <c r="B1513" s="4" t="s">
        <v>1074</v>
      </c>
      <c r="C1513">
        <v>9</v>
      </c>
      <c r="D1513" s="7">
        <v>4</v>
      </c>
      <c r="E1513">
        <v>1</v>
      </c>
      <c r="F1513" t="s">
        <v>1324</v>
      </c>
      <c r="G1513" t="s">
        <v>46</v>
      </c>
    </row>
    <row r="1514" spans="1:7" x14ac:dyDescent="0.35">
      <c r="A1514" t="s">
        <v>2961</v>
      </c>
      <c r="B1514" s="4" t="s">
        <v>1077</v>
      </c>
      <c r="C1514">
        <v>4</v>
      </c>
      <c r="D1514" s="7">
        <v>7</v>
      </c>
      <c r="E1514">
        <v>1</v>
      </c>
      <c r="F1514" t="s">
        <v>1324</v>
      </c>
      <c r="G1514" t="s">
        <v>46</v>
      </c>
    </row>
    <row r="1515" spans="1:7" x14ac:dyDescent="0.35">
      <c r="A1515" t="s">
        <v>2962</v>
      </c>
      <c r="B1515" s="4" t="s">
        <v>1077</v>
      </c>
      <c r="C1515">
        <v>5</v>
      </c>
      <c r="D1515" s="7">
        <v>6</v>
      </c>
      <c r="E1515">
        <v>1</v>
      </c>
      <c r="F1515" t="s">
        <v>1324</v>
      </c>
      <c r="G1515" t="s">
        <v>46</v>
      </c>
    </row>
    <row r="1516" spans="1:7" x14ac:dyDescent="0.35">
      <c r="A1516" t="s">
        <v>2963</v>
      </c>
      <c r="B1516" s="4" t="s">
        <v>1077</v>
      </c>
      <c r="C1516">
        <v>6</v>
      </c>
      <c r="D1516" s="7">
        <v>7</v>
      </c>
      <c r="E1516">
        <v>1</v>
      </c>
      <c r="F1516" t="s">
        <v>1324</v>
      </c>
      <c r="G1516" t="s">
        <v>46</v>
      </c>
    </row>
    <row r="1517" spans="1:7" x14ac:dyDescent="0.35">
      <c r="A1517" t="s">
        <v>2964</v>
      </c>
      <c r="B1517" s="4" t="s">
        <v>1077</v>
      </c>
      <c r="C1517">
        <v>9</v>
      </c>
      <c r="D1517" s="7">
        <v>6</v>
      </c>
      <c r="E1517">
        <v>1</v>
      </c>
      <c r="F1517" t="s">
        <v>1324</v>
      </c>
      <c r="G1517" t="s">
        <v>46</v>
      </c>
    </row>
    <row r="1518" spans="1:7" x14ac:dyDescent="0.35">
      <c r="A1518" t="s">
        <v>2965</v>
      </c>
      <c r="B1518" s="4" t="s">
        <v>2966</v>
      </c>
      <c r="C1518">
        <v>4</v>
      </c>
      <c r="D1518" s="7">
        <v>10</v>
      </c>
      <c r="E1518">
        <v>1</v>
      </c>
      <c r="F1518" t="s">
        <v>1324</v>
      </c>
      <c r="G1518" t="s">
        <v>46</v>
      </c>
    </row>
    <row r="1519" spans="1:7" x14ac:dyDescent="0.35">
      <c r="A1519" t="s">
        <v>2967</v>
      </c>
      <c r="B1519" s="4" t="s">
        <v>2966</v>
      </c>
      <c r="C1519">
        <v>5</v>
      </c>
      <c r="D1519" s="7">
        <v>12</v>
      </c>
      <c r="E1519">
        <v>1</v>
      </c>
      <c r="F1519" t="s">
        <v>1324</v>
      </c>
      <c r="G1519" t="s">
        <v>46</v>
      </c>
    </row>
    <row r="1520" spans="1:7" x14ac:dyDescent="0.35">
      <c r="A1520" t="s">
        <v>2968</v>
      </c>
      <c r="B1520" s="4" t="s">
        <v>2966</v>
      </c>
      <c r="C1520">
        <v>6</v>
      </c>
      <c r="D1520" s="7">
        <v>13</v>
      </c>
      <c r="E1520">
        <v>1</v>
      </c>
      <c r="F1520" t="s">
        <v>1324</v>
      </c>
      <c r="G1520" t="s">
        <v>46</v>
      </c>
    </row>
    <row r="1521" spans="1:7" x14ac:dyDescent="0.35">
      <c r="A1521" t="s">
        <v>2969</v>
      </c>
      <c r="B1521" s="4" t="s">
        <v>2966</v>
      </c>
      <c r="C1521">
        <v>9</v>
      </c>
      <c r="D1521" s="7">
        <v>11</v>
      </c>
      <c r="E1521">
        <v>1</v>
      </c>
      <c r="F1521" t="s">
        <v>1324</v>
      </c>
      <c r="G1521" t="s">
        <v>46</v>
      </c>
    </row>
    <row r="1522" spans="1:7" x14ac:dyDescent="0.35">
      <c r="A1522" t="s">
        <v>2970</v>
      </c>
      <c r="B1522" s="4" t="s">
        <v>1080</v>
      </c>
      <c r="C1522">
        <v>1</v>
      </c>
      <c r="D1522" s="7">
        <v>2</v>
      </c>
      <c r="E1522">
        <v>2</v>
      </c>
      <c r="F1522" t="s">
        <v>1321</v>
      </c>
      <c r="G1522" t="s">
        <v>54</v>
      </c>
    </row>
    <row r="1523" spans="1:7" x14ac:dyDescent="0.35">
      <c r="A1523" t="s">
        <v>2971</v>
      </c>
      <c r="B1523" s="4" t="s">
        <v>1080</v>
      </c>
      <c r="C1523">
        <v>4</v>
      </c>
      <c r="D1523" s="7">
        <v>12</v>
      </c>
      <c r="E1523">
        <v>1</v>
      </c>
      <c r="F1523" t="s">
        <v>1324</v>
      </c>
      <c r="G1523" t="s">
        <v>46</v>
      </c>
    </row>
    <row r="1524" spans="1:7" x14ac:dyDescent="0.35">
      <c r="A1524" t="s">
        <v>2972</v>
      </c>
      <c r="B1524" s="4" t="s">
        <v>1080</v>
      </c>
      <c r="C1524">
        <v>5</v>
      </c>
      <c r="D1524" s="7">
        <v>15</v>
      </c>
      <c r="E1524">
        <v>1</v>
      </c>
      <c r="F1524" t="s">
        <v>1324</v>
      </c>
      <c r="G1524" t="s">
        <v>46</v>
      </c>
    </row>
    <row r="1525" spans="1:7" x14ac:dyDescent="0.35">
      <c r="A1525" t="s">
        <v>2973</v>
      </c>
      <c r="B1525" s="4" t="s">
        <v>1080</v>
      </c>
      <c r="C1525">
        <v>6</v>
      </c>
      <c r="D1525" s="7">
        <v>11</v>
      </c>
      <c r="E1525">
        <v>1</v>
      </c>
      <c r="F1525" t="s">
        <v>1324</v>
      </c>
      <c r="G1525" t="s">
        <v>46</v>
      </c>
    </row>
    <row r="1526" spans="1:7" x14ac:dyDescent="0.35">
      <c r="A1526" t="s">
        <v>2974</v>
      </c>
      <c r="B1526" s="4" t="s">
        <v>1080</v>
      </c>
      <c r="C1526">
        <v>9</v>
      </c>
      <c r="D1526" s="7">
        <v>13</v>
      </c>
      <c r="E1526">
        <v>1</v>
      </c>
      <c r="F1526" t="s">
        <v>1324</v>
      </c>
      <c r="G1526" t="s">
        <v>46</v>
      </c>
    </row>
    <row r="1527" spans="1:7" x14ac:dyDescent="0.35">
      <c r="A1527" t="s">
        <v>2975</v>
      </c>
      <c r="B1527" s="4" t="s">
        <v>2976</v>
      </c>
      <c r="C1527">
        <v>1</v>
      </c>
      <c r="D1527" s="7">
        <v>5</v>
      </c>
      <c r="E1527">
        <v>1</v>
      </c>
      <c r="F1527" t="s">
        <v>1321</v>
      </c>
      <c r="G1527" t="s">
        <v>46</v>
      </c>
    </row>
    <row r="1528" spans="1:7" x14ac:dyDescent="0.35">
      <c r="A1528" t="s">
        <v>2977</v>
      </c>
      <c r="B1528" s="4" t="s">
        <v>2976</v>
      </c>
      <c r="C1528">
        <v>4</v>
      </c>
      <c r="D1528" s="7">
        <v>11</v>
      </c>
      <c r="E1528">
        <v>1</v>
      </c>
      <c r="F1528" t="s">
        <v>1324</v>
      </c>
      <c r="G1528" t="s">
        <v>46</v>
      </c>
    </row>
    <row r="1529" spans="1:7" x14ac:dyDescent="0.35">
      <c r="A1529" t="s">
        <v>2978</v>
      </c>
      <c r="B1529" s="4" t="s">
        <v>2976</v>
      </c>
      <c r="C1529">
        <v>5</v>
      </c>
      <c r="D1529" s="7">
        <v>10</v>
      </c>
      <c r="E1529">
        <v>1</v>
      </c>
      <c r="F1529" t="s">
        <v>1324</v>
      </c>
      <c r="G1529" t="s">
        <v>46</v>
      </c>
    </row>
    <row r="1530" spans="1:7" x14ac:dyDescent="0.35">
      <c r="A1530" t="s">
        <v>2979</v>
      </c>
      <c r="B1530" s="4" t="s">
        <v>2976</v>
      </c>
      <c r="C1530">
        <v>6</v>
      </c>
      <c r="D1530" s="7">
        <v>8</v>
      </c>
      <c r="E1530">
        <v>1</v>
      </c>
      <c r="F1530" t="s">
        <v>1324</v>
      </c>
      <c r="G1530" t="s">
        <v>46</v>
      </c>
    </row>
    <row r="1531" spans="1:7" x14ac:dyDescent="0.35">
      <c r="A1531" t="s">
        <v>2980</v>
      </c>
      <c r="B1531" s="4" t="s">
        <v>2976</v>
      </c>
      <c r="C1531">
        <v>9</v>
      </c>
      <c r="D1531" s="7">
        <v>15</v>
      </c>
      <c r="E1531">
        <v>1</v>
      </c>
      <c r="F1531" t="s">
        <v>1324</v>
      </c>
      <c r="G1531" t="s">
        <v>46</v>
      </c>
    </row>
    <row r="1532" spans="1:7" x14ac:dyDescent="0.35">
      <c r="A1532" t="s">
        <v>2981</v>
      </c>
      <c r="B1532" s="4" t="s">
        <v>2982</v>
      </c>
      <c r="C1532">
        <v>1</v>
      </c>
      <c r="D1532" s="7">
        <v>2</v>
      </c>
      <c r="E1532">
        <v>2</v>
      </c>
      <c r="F1532" t="s">
        <v>1321</v>
      </c>
      <c r="G1532" t="s">
        <v>54</v>
      </c>
    </row>
    <row r="1533" spans="1:7" x14ac:dyDescent="0.35">
      <c r="A1533" t="s">
        <v>2983</v>
      </c>
      <c r="B1533" s="4" t="s">
        <v>2982</v>
      </c>
      <c r="C1533">
        <v>4</v>
      </c>
      <c r="D1533" s="7">
        <v>9</v>
      </c>
      <c r="E1533">
        <v>1</v>
      </c>
      <c r="F1533" t="s">
        <v>1324</v>
      </c>
      <c r="G1533" t="s">
        <v>46</v>
      </c>
    </row>
    <row r="1534" spans="1:7" x14ac:dyDescent="0.35">
      <c r="A1534" t="s">
        <v>2984</v>
      </c>
      <c r="B1534" s="4" t="s">
        <v>2982</v>
      </c>
      <c r="C1534">
        <v>5</v>
      </c>
      <c r="D1534" s="7">
        <v>14</v>
      </c>
      <c r="E1534">
        <v>1</v>
      </c>
      <c r="F1534" t="s">
        <v>1324</v>
      </c>
      <c r="G1534" t="s">
        <v>46</v>
      </c>
    </row>
    <row r="1535" spans="1:7" x14ac:dyDescent="0.35">
      <c r="A1535" t="s">
        <v>2985</v>
      </c>
      <c r="B1535" s="4" t="s">
        <v>2982</v>
      </c>
      <c r="C1535">
        <v>6</v>
      </c>
      <c r="D1535" s="7">
        <v>15</v>
      </c>
      <c r="E1535">
        <v>1</v>
      </c>
      <c r="F1535" t="s">
        <v>1324</v>
      </c>
      <c r="G1535" t="s">
        <v>46</v>
      </c>
    </row>
    <row r="1536" spans="1:7" x14ac:dyDescent="0.35">
      <c r="A1536" t="s">
        <v>2986</v>
      </c>
      <c r="B1536" s="4" t="s">
        <v>2982</v>
      </c>
      <c r="C1536">
        <v>9</v>
      </c>
      <c r="D1536" s="7">
        <v>10</v>
      </c>
      <c r="E1536">
        <v>1</v>
      </c>
      <c r="F1536" t="s">
        <v>1324</v>
      </c>
      <c r="G1536" t="s">
        <v>46</v>
      </c>
    </row>
    <row r="1537" spans="1:7" x14ac:dyDescent="0.35">
      <c r="A1537" t="s">
        <v>2987</v>
      </c>
      <c r="B1537" s="4" t="s">
        <v>1083</v>
      </c>
      <c r="C1537">
        <v>1</v>
      </c>
      <c r="D1537" s="7">
        <v>3</v>
      </c>
      <c r="E1537">
        <v>2</v>
      </c>
      <c r="F1537" t="s">
        <v>1321</v>
      </c>
      <c r="G1537" t="s">
        <v>54</v>
      </c>
    </row>
    <row r="1538" spans="1:7" x14ac:dyDescent="0.35">
      <c r="A1538" t="s">
        <v>2988</v>
      </c>
      <c r="B1538" s="4" t="s">
        <v>1083</v>
      </c>
      <c r="C1538">
        <v>4</v>
      </c>
      <c r="D1538" s="7">
        <v>14</v>
      </c>
      <c r="E1538">
        <v>1</v>
      </c>
      <c r="F1538" t="s">
        <v>1324</v>
      </c>
      <c r="G1538" t="s">
        <v>46</v>
      </c>
    </row>
    <row r="1539" spans="1:7" x14ac:dyDescent="0.35">
      <c r="A1539" t="s">
        <v>2989</v>
      </c>
      <c r="B1539" s="4" t="s">
        <v>1083</v>
      </c>
      <c r="C1539">
        <v>5</v>
      </c>
      <c r="D1539" s="7">
        <v>14</v>
      </c>
      <c r="E1539">
        <v>1</v>
      </c>
      <c r="F1539" t="s">
        <v>1324</v>
      </c>
      <c r="G1539" t="s">
        <v>46</v>
      </c>
    </row>
    <row r="1540" spans="1:7" x14ac:dyDescent="0.35">
      <c r="A1540" t="s">
        <v>2990</v>
      </c>
      <c r="B1540" s="4" t="s">
        <v>1083</v>
      </c>
      <c r="C1540">
        <v>6</v>
      </c>
      <c r="D1540" s="7">
        <v>9</v>
      </c>
      <c r="E1540">
        <v>1</v>
      </c>
      <c r="F1540" t="s">
        <v>1324</v>
      </c>
      <c r="G1540" t="s">
        <v>46</v>
      </c>
    </row>
    <row r="1541" spans="1:7" x14ac:dyDescent="0.35">
      <c r="A1541" t="s">
        <v>2991</v>
      </c>
      <c r="B1541" s="4" t="s">
        <v>1083</v>
      </c>
      <c r="C1541">
        <v>9</v>
      </c>
      <c r="D1541" s="7">
        <v>15</v>
      </c>
      <c r="E1541">
        <v>1</v>
      </c>
      <c r="F1541" t="s">
        <v>1324</v>
      </c>
      <c r="G1541" t="s">
        <v>46</v>
      </c>
    </row>
    <row r="1542" spans="1:7" x14ac:dyDescent="0.35">
      <c r="A1542" t="s">
        <v>2992</v>
      </c>
      <c r="B1542" s="4" t="s">
        <v>2993</v>
      </c>
      <c r="C1542">
        <v>4</v>
      </c>
      <c r="D1542" s="7">
        <v>7</v>
      </c>
      <c r="E1542">
        <v>1</v>
      </c>
      <c r="F1542" t="s">
        <v>1324</v>
      </c>
      <c r="G1542" t="s">
        <v>46</v>
      </c>
    </row>
    <row r="1543" spans="1:7" x14ac:dyDescent="0.35">
      <c r="A1543" t="s">
        <v>2994</v>
      </c>
      <c r="B1543" s="4" t="s">
        <v>2993</v>
      </c>
      <c r="C1543">
        <v>5</v>
      </c>
      <c r="D1543" s="7">
        <v>4</v>
      </c>
      <c r="E1543">
        <v>1</v>
      </c>
      <c r="F1543" t="s">
        <v>1324</v>
      </c>
      <c r="G1543" t="s">
        <v>46</v>
      </c>
    </row>
    <row r="1544" spans="1:7" x14ac:dyDescent="0.35">
      <c r="A1544" t="s">
        <v>2995</v>
      </c>
      <c r="B1544" s="4" t="s">
        <v>2993</v>
      </c>
      <c r="C1544">
        <v>6</v>
      </c>
      <c r="D1544" s="7">
        <v>6</v>
      </c>
      <c r="E1544">
        <v>1</v>
      </c>
      <c r="F1544" t="s">
        <v>1324</v>
      </c>
      <c r="G1544" t="s">
        <v>46</v>
      </c>
    </row>
    <row r="1545" spans="1:7" x14ac:dyDescent="0.35">
      <c r="A1545" t="s">
        <v>2996</v>
      </c>
      <c r="B1545" s="4" t="s">
        <v>2993</v>
      </c>
      <c r="C1545">
        <v>9</v>
      </c>
      <c r="D1545" s="7">
        <v>4</v>
      </c>
      <c r="E1545">
        <v>1</v>
      </c>
      <c r="F1545" t="s">
        <v>1324</v>
      </c>
      <c r="G1545" t="s">
        <v>46</v>
      </c>
    </row>
    <row r="1546" spans="1:7" x14ac:dyDescent="0.35">
      <c r="A1546" t="s">
        <v>2997</v>
      </c>
      <c r="B1546" s="4" t="s">
        <v>1087</v>
      </c>
      <c r="C1546">
        <v>1</v>
      </c>
      <c r="D1546" s="7">
        <v>1</v>
      </c>
      <c r="E1546">
        <v>1</v>
      </c>
      <c r="F1546" t="s">
        <v>1321</v>
      </c>
      <c r="G1546" t="s">
        <v>46</v>
      </c>
    </row>
    <row r="1547" spans="1:7" x14ac:dyDescent="0.35">
      <c r="A1547" t="s">
        <v>2998</v>
      </c>
      <c r="B1547" s="4" t="s">
        <v>1087</v>
      </c>
      <c r="C1547">
        <v>4</v>
      </c>
      <c r="D1547" s="7">
        <v>4</v>
      </c>
      <c r="E1547">
        <v>1</v>
      </c>
      <c r="F1547" t="s">
        <v>1324</v>
      </c>
      <c r="G1547" t="s">
        <v>46</v>
      </c>
    </row>
    <row r="1548" spans="1:7" x14ac:dyDescent="0.35">
      <c r="A1548" t="s">
        <v>2999</v>
      </c>
      <c r="B1548" s="4" t="s">
        <v>1087</v>
      </c>
      <c r="C1548">
        <v>5</v>
      </c>
      <c r="D1548" s="7">
        <v>7</v>
      </c>
      <c r="E1548">
        <v>1</v>
      </c>
      <c r="F1548" t="s">
        <v>1324</v>
      </c>
      <c r="G1548" t="s">
        <v>46</v>
      </c>
    </row>
    <row r="1549" spans="1:7" x14ac:dyDescent="0.35">
      <c r="A1549" t="s">
        <v>3000</v>
      </c>
      <c r="B1549" s="4" t="s">
        <v>1087</v>
      </c>
      <c r="C1549">
        <v>6</v>
      </c>
      <c r="D1549" s="7">
        <v>6</v>
      </c>
      <c r="E1549">
        <v>1</v>
      </c>
      <c r="F1549" t="s">
        <v>1324</v>
      </c>
      <c r="G1549" t="s">
        <v>46</v>
      </c>
    </row>
    <row r="1550" spans="1:7" x14ac:dyDescent="0.35">
      <c r="A1550" t="s">
        <v>3001</v>
      </c>
      <c r="B1550" s="4" t="s">
        <v>1087</v>
      </c>
      <c r="C1550">
        <v>9</v>
      </c>
      <c r="D1550" s="7">
        <v>7</v>
      </c>
      <c r="E1550">
        <v>1</v>
      </c>
      <c r="F1550" t="s">
        <v>1324</v>
      </c>
      <c r="G1550" t="s">
        <v>46</v>
      </c>
    </row>
    <row r="1551" spans="1:7" x14ac:dyDescent="0.35">
      <c r="A1551" t="s">
        <v>3002</v>
      </c>
      <c r="B1551" s="4" t="s">
        <v>1089</v>
      </c>
      <c r="C1551">
        <v>1</v>
      </c>
      <c r="D1551" s="7">
        <v>2</v>
      </c>
      <c r="E1551">
        <v>1</v>
      </c>
      <c r="F1551" t="s">
        <v>1321</v>
      </c>
      <c r="G1551" t="s">
        <v>46</v>
      </c>
    </row>
    <row r="1552" spans="1:7" x14ac:dyDescent="0.35">
      <c r="A1552" t="s">
        <v>3003</v>
      </c>
      <c r="B1552" s="4" t="s">
        <v>1089</v>
      </c>
      <c r="C1552">
        <v>1</v>
      </c>
      <c r="D1552" s="7">
        <v>3</v>
      </c>
      <c r="E1552">
        <v>2</v>
      </c>
      <c r="F1552" t="s">
        <v>1321</v>
      </c>
      <c r="G1552" t="s">
        <v>54</v>
      </c>
    </row>
    <row r="1553" spans="1:7" x14ac:dyDescent="0.35">
      <c r="A1553" t="s">
        <v>3004</v>
      </c>
      <c r="B1553" s="4" t="s">
        <v>1089</v>
      </c>
      <c r="C1553">
        <v>4</v>
      </c>
      <c r="D1553" s="7">
        <v>11</v>
      </c>
      <c r="E1553">
        <v>1</v>
      </c>
      <c r="F1553" t="s">
        <v>1324</v>
      </c>
      <c r="G1553" t="s">
        <v>46</v>
      </c>
    </row>
    <row r="1554" spans="1:7" x14ac:dyDescent="0.35">
      <c r="A1554" t="s">
        <v>3005</v>
      </c>
      <c r="B1554" s="4" t="s">
        <v>1089</v>
      </c>
      <c r="C1554">
        <v>5</v>
      </c>
      <c r="D1554" s="7">
        <v>15</v>
      </c>
      <c r="E1554">
        <v>1</v>
      </c>
      <c r="F1554" t="s">
        <v>1324</v>
      </c>
      <c r="G1554" t="s">
        <v>46</v>
      </c>
    </row>
    <row r="1555" spans="1:7" x14ac:dyDescent="0.35">
      <c r="A1555" t="s">
        <v>3006</v>
      </c>
      <c r="B1555" s="4" t="s">
        <v>1089</v>
      </c>
      <c r="C1555">
        <v>6</v>
      </c>
      <c r="D1555" s="7">
        <v>13</v>
      </c>
      <c r="E1555">
        <v>1</v>
      </c>
      <c r="F1555" t="s">
        <v>1324</v>
      </c>
      <c r="G1555" t="s">
        <v>46</v>
      </c>
    </row>
    <row r="1556" spans="1:7" x14ac:dyDescent="0.35">
      <c r="A1556" t="s">
        <v>3007</v>
      </c>
      <c r="B1556" s="4" t="s">
        <v>1089</v>
      </c>
      <c r="C1556">
        <v>9</v>
      </c>
      <c r="D1556" s="7">
        <v>14</v>
      </c>
      <c r="E1556">
        <v>1</v>
      </c>
      <c r="F1556" t="s">
        <v>1324</v>
      </c>
      <c r="G1556" t="s">
        <v>46</v>
      </c>
    </row>
    <row r="1557" spans="1:7" x14ac:dyDescent="0.35">
      <c r="A1557" t="s">
        <v>3008</v>
      </c>
      <c r="B1557" s="4" t="s">
        <v>1095</v>
      </c>
      <c r="C1557">
        <v>4</v>
      </c>
      <c r="D1557" s="7">
        <v>10</v>
      </c>
      <c r="E1557">
        <v>1</v>
      </c>
      <c r="F1557" t="s">
        <v>1324</v>
      </c>
      <c r="G1557" t="s">
        <v>46</v>
      </c>
    </row>
    <row r="1558" spans="1:7" x14ac:dyDescent="0.35">
      <c r="A1558" t="s">
        <v>3009</v>
      </c>
      <c r="B1558" s="4" t="s">
        <v>1095</v>
      </c>
      <c r="C1558">
        <v>5</v>
      </c>
      <c r="D1558" s="7">
        <v>13</v>
      </c>
      <c r="E1558">
        <v>1</v>
      </c>
      <c r="F1558" t="s">
        <v>1324</v>
      </c>
      <c r="G1558" t="s">
        <v>46</v>
      </c>
    </row>
    <row r="1559" spans="1:7" x14ac:dyDescent="0.35">
      <c r="A1559" t="s">
        <v>3010</v>
      </c>
      <c r="B1559" s="4" t="s">
        <v>1095</v>
      </c>
      <c r="C1559">
        <v>6</v>
      </c>
      <c r="D1559" s="7">
        <v>8</v>
      </c>
      <c r="E1559">
        <v>1</v>
      </c>
      <c r="F1559" t="s">
        <v>1324</v>
      </c>
      <c r="G1559" t="s">
        <v>46</v>
      </c>
    </row>
    <row r="1560" spans="1:7" x14ac:dyDescent="0.35">
      <c r="A1560" t="s">
        <v>3011</v>
      </c>
      <c r="B1560" s="4" t="s">
        <v>1095</v>
      </c>
      <c r="C1560">
        <v>9</v>
      </c>
      <c r="D1560" s="7">
        <v>15</v>
      </c>
      <c r="E1560">
        <v>1</v>
      </c>
      <c r="F1560" t="s">
        <v>1324</v>
      </c>
      <c r="G1560" t="s">
        <v>46</v>
      </c>
    </row>
    <row r="1561" spans="1:7" x14ac:dyDescent="0.35">
      <c r="A1561" t="s">
        <v>3012</v>
      </c>
      <c r="B1561" s="4" t="s">
        <v>1101</v>
      </c>
      <c r="C1561">
        <v>1</v>
      </c>
      <c r="D1561" s="7">
        <v>5</v>
      </c>
      <c r="E1561">
        <v>1</v>
      </c>
      <c r="F1561" t="s">
        <v>1321</v>
      </c>
      <c r="G1561" t="s">
        <v>46</v>
      </c>
    </row>
    <row r="1562" spans="1:7" x14ac:dyDescent="0.35">
      <c r="A1562" t="s">
        <v>3013</v>
      </c>
      <c r="B1562" s="4" t="s">
        <v>1101</v>
      </c>
      <c r="C1562">
        <v>4</v>
      </c>
      <c r="D1562" s="7">
        <v>10</v>
      </c>
      <c r="E1562">
        <v>1</v>
      </c>
      <c r="F1562" t="s">
        <v>1324</v>
      </c>
      <c r="G1562" t="s">
        <v>46</v>
      </c>
    </row>
    <row r="1563" spans="1:7" x14ac:dyDescent="0.35">
      <c r="A1563" t="s">
        <v>3014</v>
      </c>
      <c r="B1563" s="4" t="s">
        <v>1101</v>
      </c>
      <c r="C1563">
        <v>5</v>
      </c>
      <c r="D1563" s="7">
        <v>13</v>
      </c>
      <c r="E1563">
        <v>1</v>
      </c>
      <c r="F1563" t="s">
        <v>1324</v>
      </c>
      <c r="G1563" t="s">
        <v>46</v>
      </c>
    </row>
    <row r="1564" spans="1:7" x14ac:dyDescent="0.35">
      <c r="A1564" t="s">
        <v>3015</v>
      </c>
      <c r="B1564" s="4" t="s">
        <v>1101</v>
      </c>
      <c r="C1564">
        <v>6</v>
      </c>
      <c r="D1564" s="7">
        <v>12</v>
      </c>
      <c r="E1564">
        <v>1</v>
      </c>
      <c r="F1564" t="s">
        <v>1324</v>
      </c>
      <c r="G1564" t="s">
        <v>46</v>
      </c>
    </row>
    <row r="1565" spans="1:7" x14ac:dyDescent="0.35">
      <c r="A1565" t="s">
        <v>3016</v>
      </c>
      <c r="B1565" s="4" t="s">
        <v>1101</v>
      </c>
      <c r="C1565">
        <v>9</v>
      </c>
      <c r="D1565" s="7">
        <v>13</v>
      </c>
      <c r="E1565">
        <v>1</v>
      </c>
      <c r="F1565" t="s">
        <v>1324</v>
      </c>
      <c r="G1565" t="s">
        <v>46</v>
      </c>
    </row>
    <row r="1566" spans="1:7" x14ac:dyDescent="0.35">
      <c r="A1566" t="s">
        <v>3017</v>
      </c>
      <c r="B1566" s="4" t="s">
        <v>1108</v>
      </c>
      <c r="C1566">
        <v>1</v>
      </c>
      <c r="D1566" s="7">
        <v>2</v>
      </c>
      <c r="E1566">
        <v>2</v>
      </c>
      <c r="F1566" t="s">
        <v>1321</v>
      </c>
      <c r="G1566" t="s">
        <v>54</v>
      </c>
    </row>
    <row r="1567" spans="1:7" x14ac:dyDescent="0.35">
      <c r="A1567" t="s">
        <v>3018</v>
      </c>
      <c r="B1567" s="4" t="s">
        <v>1108</v>
      </c>
      <c r="C1567">
        <v>4</v>
      </c>
      <c r="D1567" s="7">
        <v>9</v>
      </c>
      <c r="E1567">
        <v>1</v>
      </c>
      <c r="F1567" t="s">
        <v>1324</v>
      </c>
      <c r="G1567" t="s">
        <v>46</v>
      </c>
    </row>
    <row r="1568" spans="1:7" x14ac:dyDescent="0.35">
      <c r="A1568" t="s">
        <v>3019</v>
      </c>
      <c r="B1568" s="4" t="s">
        <v>1108</v>
      </c>
      <c r="C1568">
        <v>5</v>
      </c>
      <c r="D1568" s="7">
        <v>15</v>
      </c>
      <c r="E1568">
        <v>1</v>
      </c>
      <c r="F1568" t="s">
        <v>1324</v>
      </c>
      <c r="G1568" t="s">
        <v>46</v>
      </c>
    </row>
    <row r="1569" spans="1:7" x14ac:dyDescent="0.35">
      <c r="A1569" t="s">
        <v>3020</v>
      </c>
      <c r="B1569" s="4" t="s">
        <v>1108</v>
      </c>
      <c r="C1569">
        <v>6</v>
      </c>
      <c r="D1569" s="7">
        <v>15</v>
      </c>
      <c r="E1569">
        <v>1</v>
      </c>
      <c r="F1569" t="s">
        <v>1324</v>
      </c>
      <c r="G1569" t="s">
        <v>46</v>
      </c>
    </row>
    <row r="1570" spans="1:7" x14ac:dyDescent="0.35">
      <c r="A1570" t="s">
        <v>3021</v>
      </c>
      <c r="B1570" s="4" t="s">
        <v>1108</v>
      </c>
      <c r="C1570">
        <v>9</v>
      </c>
      <c r="D1570" s="7">
        <v>13</v>
      </c>
      <c r="E1570">
        <v>1</v>
      </c>
      <c r="F1570" t="s">
        <v>1324</v>
      </c>
      <c r="G1570" t="s">
        <v>46</v>
      </c>
    </row>
    <row r="1571" spans="1:7" x14ac:dyDescent="0.35">
      <c r="A1571" t="s">
        <v>3022</v>
      </c>
      <c r="B1571" s="4" t="s">
        <v>1116</v>
      </c>
      <c r="C1571">
        <v>1</v>
      </c>
      <c r="D1571" s="7">
        <v>2</v>
      </c>
      <c r="E1571">
        <v>1</v>
      </c>
      <c r="F1571" t="s">
        <v>1321</v>
      </c>
      <c r="G1571" t="s">
        <v>46</v>
      </c>
    </row>
    <row r="1572" spans="1:7" x14ac:dyDescent="0.35">
      <c r="A1572" t="s">
        <v>3023</v>
      </c>
      <c r="B1572" s="4" t="s">
        <v>1116</v>
      </c>
      <c r="C1572">
        <v>4</v>
      </c>
      <c r="D1572" s="7">
        <v>13</v>
      </c>
      <c r="E1572">
        <v>1</v>
      </c>
      <c r="F1572" t="s">
        <v>1324</v>
      </c>
      <c r="G1572" t="s">
        <v>46</v>
      </c>
    </row>
    <row r="1573" spans="1:7" x14ac:dyDescent="0.35">
      <c r="A1573" t="s">
        <v>3024</v>
      </c>
      <c r="B1573" s="4" t="s">
        <v>1116</v>
      </c>
      <c r="C1573">
        <v>5</v>
      </c>
      <c r="D1573" s="7">
        <v>9</v>
      </c>
      <c r="E1573">
        <v>1</v>
      </c>
      <c r="F1573" t="s">
        <v>1324</v>
      </c>
      <c r="G1573" t="s">
        <v>46</v>
      </c>
    </row>
    <row r="1574" spans="1:7" x14ac:dyDescent="0.35">
      <c r="A1574" t="s">
        <v>3025</v>
      </c>
      <c r="B1574" s="4" t="s">
        <v>1116</v>
      </c>
      <c r="C1574">
        <v>6</v>
      </c>
      <c r="D1574" s="7">
        <v>10</v>
      </c>
      <c r="E1574">
        <v>1</v>
      </c>
      <c r="F1574" t="s">
        <v>1324</v>
      </c>
      <c r="G1574" t="s">
        <v>46</v>
      </c>
    </row>
    <row r="1575" spans="1:7" x14ac:dyDescent="0.35">
      <c r="A1575" t="s">
        <v>3026</v>
      </c>
      <c r="B1575" s="4" t="s">
        <v>1116</v>
      </c>
      <c r="C1575">
        <v>9</v>
      </c>
      <c r="D1575" s="7">
        <v>11</v>
      </c>
      <c r="E1575">
        <v>1</v>
      </c>
      <c r="F1575" t="s">
        <v>1324</v>
      </c>
      <c r="G1575" t="s">
        <v>46</v>
      </c>
    </row>
    <row r="1576" spans="1:7" x14ac:dyDescent="0.35">
      <c r="A1576" t="s">
        <v>3027</v>
      </c>
      <c r="B1576" s="4" t="s">
        <v>1118</v>
      </c>
      <c r="C1576">
        <v>4</v>
      </c>
      <c r="D1576" s="7">
        <v>7</v>
      </c>
      <c r="E1576">
        <v>1</v>
      </c>
      <c r="F1576" t="s">
        <v>1324</v>
      </c>
      <c r="G1576" t="s">
        <v>46</v>
      </c>
    </row>
    <row r="1577" spans="1:7" x14ac:dyDescent="0.35">
      <c r="A1577" t="s">
        <v>3028</v>
      </c>
      <c r="B1577" s="4" t="s">
        <v>1118</v>
      </c>
      <c r="C1577">
        <v>5</v>
      </c>
      <c r="D1577" s="7">
        <v>7</v>
      </c>
      <c r="E1577">
        <v>1</v>
      </c>
      <c r="F1577" t="s">
        <v>1324</v>
      </c>
      <c r="G1577" t="s">
        <v>46</v>
      </c>
    </row>
    <row r="1578" spans="1:7" x14ac:dyDescent="0.35">
      <c r="A1578" t="s">
        <v>3029</v>
      </c>
      <c r="B1578" s="4" t="s">
        <v>1118</v>
      </c>
      <c r="C1578">
        <v>6</v>
      </c>
      <c r="D1578" s="7">
        <v>5</v>
      </c>
      <c r="E1578">
        <v>1</v>
      </c>
      <c r="F1578" t="s">
        <v>1324</v>
      </c>
      <c r="G1578" t="s">
        <v>46</v>
      </c>
    </row>
    <row r="1579" spans="1:7" x14ac:dyDescent="0.35">
      <c r="A1579" t="s">
        <v>3030</v>
      </c>
      <c r="B1579" s="4" t="s">
        <v>1118</v>
      </c>
      <c r="C1579">
        <v>9</v>
      </c>
      <c r="D1579" s="7">
        <v>7</v>
      </c>
      <c r="E1579">
        <v>1</v>
      </c>
      <c r="F1579" t="s">
        <v>1324</v>
      </c>
      <c r="G1579" t="s">
        <v>46</v>
      </c>
    </row>
    <row r="1580" spans="1:7" x14ac:dyDescent="0.35">
      <c r="A1580" t="s">
        <v>3031</v>
      </c>
      <c r="B1580" s="4" t="s">
        <v>1120</v>
      </c>
      <c r="C1580">
        <v>4</v>
      </c>
      <c r="D1580" s="7">
        <v>4</v>
      </c>
      <c r="E1580">
        <v>1</v>
      </c>
      <c r="F1580" t="s">
        <v>1324</v>
      </c>
      <c r="G1580" t="s">
        <v>46</v>
      </c>
    </row>
    <row r="1581" spans="1:7" x14ac:dyDescent="0.35">
      <c r="A1581" t="s">
        <v>3032</v>
      </c>
      <c r="B1581" s="4" t="s">
        <v>1120</v>
      </c>
      <c r="C1581">
        <v>5</v>
      </c>
      <c r="D1581" s="7">
        <v>5</v>
      </c>
      <c r="E1581">
        <v>1</v>
      </c>
      <c r="F1581" t="s">
        <v>1324</v>
      </c>
      <c r="G1581" t="s">
        <v>46</v>
      </c>
    </row>
    <row r="1582" spans="1:7" x14ac:dyDescent="0.35">
      <c r="A1582" t="s">
        <v>3033</v>
      </c>
      <c r="B1582" s="4" t="s">
        <v>1120</v>
      </c>
      <c r="C1582">
        <v>6</v>
      </c>
      <c r="D1582" s="7">
        <v>7</v>
      </c>
      <c r="E1582">
        <v>1</v>
      </c>
      <c r="F1582" t="s">
        <v>1324</v>
      </c>
      <c r="G1582" t="s">
        <v>46</v>
      </c>
    </row>
    <row r="1583" spans="1:7" x14ac:dyDescent="0.35">
      <c r="A1583" t="s">
        <v>3034</v>
      </c>
      <c r="B1583" s="4" t="s">
        <v>1120</v>
      </c>
      <c r="C1583">
        <v>9</v>
      </c>
      <c r="D1583" s="7">
        <v>7</v>
      </c>
      <c r="E1583">
        <v>1</v>
      </c>
      <c r="F1583" t="s">
        <v>1324</v>
      </c>
      <c r="G1583" t="s">
        <v>46</v>
      </c>
    </row>
    <row r="1584" spans="1:7" x14ac:dyDescent="0.35">
      <c r="A1584" t="s">
        <v>3035</v>
      </c>
      <c r="B1584" s="4" t="s">
        <v>3036</v>
      </c>
      <c r="C1584">
        <v>1</v>
      </c>
      <c r="D1584" s="7">
        <v>3</v>
      </c>
      <c r="E1584">
        <v>1</v>
      </c>
      <c r="F1584" t="s">
        <v>1321</v>
      </c>
      <c r="G1584" t="s">
        <v>46</v>
      </c>
    </row>
    <row r="1585" spans="1:7" x14ac:dyDescent="0.35">
      <c r="A1585" t="s">
        <v>3037</v>
      </c>
      <c r="B1585" s="4" t="s">
        <v>3036</v>
      </c>
      <c r="C1585">
        <v>1</v>
      </c>
      <c r="D1585" s="7">
        <v>3</v>
      </c>
      <c r="E1585">
        <v>2</v>
      </c>
      <c r="F1585" t="s">
        <v>1321</v>
      </c>
      <c r="G1585" t="s">
        <v>54</v>
      </c>
    </row>
    <row r="1586" spans="1:7" x14ac:dyDescent="0.35">
      <c r="A1586" t="s">
        <v>3038</v>
      </c>
      <c r="B1586" s="4" t="s">
        <v>3036</v>
      </c>
      <c r="C1586">
        <v>4</v>
      </c>
      <c r="D1586" s="7">
        <v>9</v>
      </c>
      <c r="E1586">
        <v>1</v>
      </c>
      <c r="F1586" t="s">
        <v>1324</v>
      </c>
      <c r="G1586" t="s">
        <v>46</v>
      </c>
    </row>
    <row r="1587" spans="1:7" x14ac:dyDescent="0.35">
      <c r="A1587" t="s">
        <v>3039</v>
      </c>
      <c r="B1587" s="4" t="s">
        <v>3036</v>
      </c>
      <c r="C1587">
        <v>5</v>
      </c>
      <c r="D1587" s="7">
        <v>9</v>
      </c>
      <c r="E1587">
        <v>1</v>
      </c>
      <c r="F1587" t="s">
        <v>1324</v>
      </c>
      <c r="G1587" t="s">
        <v>46</v>
      </c>
    </row>
    <row r="1588" spans="1:7" x14ac:dyDescent="0.35">
      <c r="A1588" t="s">
        <v>3040</v>
      </c>
      <c r="B1588" s="4" t="s">
        <v>3036</v>
      </c>
      <c r="C1588">
        <v>6</v>
      </c>
      <c r="D1588" s="7">
        <v>10</v>
      </c>
      <c r="E1588">
        <v>1</v>
      </c>
      <c r="F1588" t="s">
        <v>1324</v>
      </c>
      <c r="G1588" t="s">
        <v>46</v>
      </c>
    </row>
    <row r="1589" spans="1:7" x14ac:dyDescent="0.35">
      <c r="A1589" t="s">
        <v>3041</v>
      </c>
      <c r="B1589" s="4" t="s">
        <v>3036</v>
      </c>
      <c r="C1589">
        <v>9</v>
      </c>
      <c r="D1589" s="7">
        <v>13</v>
      </c>
      <c r="E1589">
        <v>1</v>
      </c>
      <c r="F1589" t="s">
        <v>1324</v>
      </c>
      <c r="G1589" t="s">
        <v>46</v>
      </c>
    </row>
    <row r="1590" spans="1:7" x14ac:dyDescent="0.35">
      <c r="A1590" t="s">
        <v>3042</v>
      </c>
      <c r="B1590" s="4" t="s">
        <v>3043</v>
      </c>
      <c r="C1590">
        <v>1</v>
      </c>
      <c r="D1590" s="7">
        <v>5</v>
      </c>
      <c r="E1590">
        <v>1</v>
      </c>
      <c r="F1590" t="s">
        <v>1321</v>
      </c>
      <c r="G1590" t="s">
        <v>46</v>
      </c>
    </row>
    <row r="1591" spans="1:7" x14ac:dyDescent="0.35">
      <c r="A1591" t="s">
        <v>3044</v>
      </c>
      <c r="B1591" s="4" t="s">
        <v>3043</v>
      </c>
      <c r="C1591">
        <v>1</v>
      </c>
      <c r="D1591" s="7">
        <v>3</v>
      </c>
      <c r="E1591">
        <v>2</v>
      </c>
      <c r="F1591" t="s">
        <v>1321</v>
      </c>
      <c r="G1591" t="s">
        <v>54</v>
      </c>
    </row>
    <row r="1592" spans="1:7" x14ac:dyDescent="0.35">
      <c r="A1592" t="s">
        <v>3045</v>
      </c>
      <c r="B1592" s="4" t="s">
        <v>3043</v>
      </c>
      <c r="C1592">
        <v>4</v>
      </c>
      <c r="D1592" s="7">
        <v>13</v>
      </c>
      <c r="E1592">
        <v>1</v>
      </c>
      <c r="F1592" t="s">
        <v>1324</v>
      </c>
      <c r="G1592" t="s">
        <v>46</v>
      </c>
    </row>
    <row r="1593" spans="1:7" x14ac:dyDescent="0.35">
      <c r="A1593" t="s">
        <v>3046</v>
      </c>
      <c r="B1593" s="4" t="s">
        <v>3043</v>
      </c>
      <c r="C1593">
        <v>5</v>
      </c>
      <c r="D1593" s="7">
        <v>14</v>
      </c>
      <c r="E1593">
        <v>1</v>
      </c>
      <c r="F1593" t="s">
        <v>1324</v>
      </c>
      <c r="G1593" t="s">
        <v>46</v>
      </c>
    </row>
    <row r="1594" spans="1:7" x14ac:dyDescent="0.35">
      <c r="A1594" t="s">
        <v>3047</v>
      </c>
      <c r="B1594" s="4" t="s">
        <v>3043</v>
      </c>
      <c r="C1594">
        <v>6</v>
      </c>
      <c r="D1594" s="7">
        <v>14</v>
      </c>
      <c r="E1594">
        <v>1</v>
      </c>
      <c r="F1594" t="s">
        <v>1324</v>
      </c>
      <c r="G1594" t="s">
        <v>46</v>
      </c>
    </row>
    <row r="1595" spans="1:7" x14ac:dyDescent="0.35">
      <c r="A1595" t="s">
        <v>3048</v>
      </c>
      <c r="B1595" s="4" t="s">
        <v>3043</v>
      </c>
      <c r="C1595">
        <v>9</v>
      </c>
      <c r="D1595" s="7">
        <v>9</v>
      </c>
      <c r="E1595">
        <v>1</v>
      </c>
      <c r="F1595" t="s">
        <v>1324</v>
      </c>
      <c r="G1595" t="s">
        <v>46</v>
      </c>
    </row>
    <row r="1596" spans="1:7" x14ac:dyDescent="0.35">
      <c r="A1596" t="s">
        <v>3049</v>
      </c>
      <c r="B1596" s="4" t="s">
        <v>3050</v>
      </c>
      <c r="C1596">
        <v>1</v>
      </c>
      <c r="D1596" s="7">
        <v>5</v>
      </c>
      <c r="E1596">
        <v>1</v>
      </c>
      <c r="F1596" t="s">
        <v>1321</v>
      </c>
      <c r="G1596" t="s">
        <v>46</v>
      </c>
    </row>
    <row r="1597" spans="1:7" x14ac:dyDescent="0.35">
      <c r="A1597" t="s">
        <v>3051</v>
      </c>
      <c r="B1597" s="4" t="s">
        <v>3050</v>
      </c>
      <c r="C1597">
        <v>4</v>
      </c>
      <c r="D1597" s="7">
        <v>12</v>
      </c>
      <c r="E1597">
        <v>1</v>
      </c>
      <c r="F1597" t="s">
        <v>1324</v>
      </c>
      <c r="G1597" t="s">
        <v>46</v>
      </c>
    </row>
    <row r="1598" spans="1:7" x14ac:dyDescent="0.35">
      <c r="A1598" t="s">
        <v>3052</v>
      </c>
      <c r="B1598" s="4" t="s">
        <v>3050</v>
      </c>
      <c r="C1598">
        <v>5</v>
      </c>
      <c r="D1598" s="7">
        <v>9</v>
      </c>
      <c r="E1598">
        <v>1</v>
      </c>
      <c r="F1598" t="s">
        <v>1324</v>
      </c>
      <c r="G1598" t="s">
        <v>46</v>
      </c>
    </row>
    <row r="1599" spans="1:7" x14ac:dyDescent="0.35">
      <c r="A1599" t="s">
        <v>3053</v>
      </c>
      <c r="B1599" s="4" t="s">
        <v>3050</v>
      </c>
      <c r="C1599">
        <v>6</v>
      </c>
      <c r="D1599" s="7">
        <v>10</v>
      </c>
      <c r="E1599">
        <v>1</v>
      </c>
      <c r="F1599" t="s">
        <v>1324</v>
      </c>
      <c r="G1599" t="s">
        <v>46</v>
      </c>
    </row>
    <row r="1600" spans="1:7" x14ac:dyDescent="0.35">
      <c r="A1600" t="s">
        <v>3054</v>
      </c>
      <c r="B1600" s="4" t="s">
        <v>3050</v>
      </c>
      <c r="C1600">
        <v>9</v>
      </c>
      <c r="D1600" s="7">
        <v>13</v>
      </c>
      <c r="E1600">
        <v>1</v>
      </c>
      <c r="F1600" t="s">
        <v>1324</v>
      </c>
      <c r="G1600" t="s">
        <v>46</v>
      </c>
    </row>
    <row r="1601" spans="1:7" x14ac:dyDescent="0.35">
      <c r="A1601" t="s">
        <v>3055</v>
      </c>
      <c r="B1601" s="4" t="s">
        <v>1122</v>
      </c>
      <c r="C1601">
        <v>1</v>
      </c>
      <c r="D1601" s="7">
        <v>4</v>
      </c>
      <c r="E1601">
        <v>1</v>
      </c>
      <c r="F1601" t="s">
        <v>1321</v>
      </c>
      <c r="G1601" t="s">
        <v>46</v>
      </c>
    </row>
    <row r="1602" spans="1:7" x14ac:dyDescent="0.35">
      <c r="A1602" t="s">
        <v>3056</v>
      </c>
      <c r="B1602" s="4" t="s">
        <v>1122</v>
      </c>
      <c r="C1602">
        <v>1</v>
      </c>
      <c r="D1602" s="7">
        <v>2</v>
      </c>
      <c r="E1602">
        <v>2</v>
      </c>
      <c r="F1602" t="s">
        <v>1321</v>
      </c>
      <c r="G1602" t="s">
        <v>54</v>
      </c>
    </row>
    <row r="1603" spans="1:7" x14ac:dyDescent="0.35">
      <c r="A1603" t="s">
        <v>3057</v>
      </c>
      <c r="B1603" s="4" t="s">
        <v>1122</v>
      </c>
      <c r="C1603">
        <v>4</v>
      </c>
      <c r="D1603" s="7">
        <v>14</v>
      </c>
      <c r="E1603">
        <v>1</v>
      </c>
      <c r="F1603" t="s">
        <v>1324</v>
      </c>
      <c r="G1603" t="s">
        <v>46</v>
      </c>
    </row>
    <row r="1604" spans="1:7" x14ac:dyDescent="0.35">
      <c r="A1604" t="s">
        <v>3058</v>
      </c>
      <c r="B1604" s="4" t="s">
        <v>1122</v>
      </c>
      <c r="C1604">
        <v>5</v>
      </c>
      <c r="D1604" s="7">
        <v>14</v>
      </c>
      <c r="E1604">
        <v>1</v>
      </c>
      <c r="F1604" t="s">
        <v>1324</v>
      </c>
      <c r="G1604" t="s">
        <v>46</v>
      </c>
    </row>
    <row r="1605" spans="1:7" x14ac:dyDescent="0.35">
      <c r="A1605" t="s">
        <v>3059</v>
      </c>
      <c r="B1605" s="4" t="s">
        <v>1122</v>
      </c>
      <c r="C1605">
        <v>6</v>
      </c>
      <c r="D1605" s="7">
        <v>10</v>
      </c>
      <c r="E1605">
        <v>1</v>
      </c>
      <c r="F1605" t="s">
        <v>1324</v>
      </c>
      <c r="G1605" t="s">
        <v>46</v>
      </c>
    </row>
    <row r="1606" spans="1:7" x14ac:dyDescent="0.35">
      <c r="A1606" t="s">
        <v>3060</v>
      </c>
      <c r="B1606" s="4" t="s">
        <v>1122</v>
      </c>
      <c r="C1606">
        <v>9</v>
      </c>
      <c r="D1606" s="7">
        <v>14</v>
      </c>
      <c r="E1606">
        <v>1</v>
      </c>
      <c r="F1606" t="s">
        <v>1324</v>
      </c>
      <c r="G1606" t="s">
        <v>46</v>
      </c>
    </row>
    <row r="1607" spans="1:7" x14ac:dyDescent="0.35">
      <c r="A1607" t="s">
        <v>3061</v>
      </c>
      <c r="B1607" s="4" t="s">
        <v>1129</v>
      </c>
      <c r="C1607">
        <v>4</v>
      </c>
      <c r="D1607" s="7">
        <v>10</v>
      </c>
      <c r="E1607">
        <v>1</v>
      </c>
      <c r="F1607" t="s">
        <v>1324</v>
      </c>
      <c r="G1607" t="s">
        <v>46</v>
      </c>
    </row>
    <row r="1608" spans="1:7" x14ac:dyDescent="0.35">
      <c r="A1608" t="s">
        <v>3062</v>
      </c>
      <c r="B1608" s="4" t="s">
        <v>1129</v>
      </c>
      <c r="C1608">
        <v>5</v>
      </c>
      <c r="D1608" s="7">
        <v>10</v>
      </c>
      <c r="E1608">
        <v>1</v>
      </c>
      <c r="F1608" t="s">
        <v>1324</v>
      </c>
      <c r="G1608" t="s">
        <v>46</v>
      </c>
    </row>
    <row r="1609" spans="1:7" x14ac:dyDescent="0.35">
      <c r="A1609" t="s">
        <v>3063</v>
      </c>
      <c r="B1609" s="4" t="s">
        <v>1129</v>
      </c>
      <c r="C1609">
        <v>6</v>
      </c>
      <c r="D1609" s="7">
        <v>15</v>
      </c>
      <c r="E1609">
        <v>1</v>
      </c>
      <c r="F1609" t="s">
        <v>1324</v>
      </c>
      <c r="G1609" t="s">
        <v>46</v>
      </c>
    </row>
    <row r="1610" spans="1:7" x14ac:dyDescent="0.35">
      <c r="A1610" t="s">
        <v>3064</v>
      </c>
      <c r="B1610" s="4" t="s">
        <v>1129</v>
      </c>
      <c r="C1610">
        <v>9</v>
      </c>
      <c r="D1610" s="7">
        <v>12</v>
      </c>
      <c r="E1610">
        <v>1</v>
      </c>
      <c r="F1610" t="s">
        <v>1324</v>
      </c>
      <c r="G1610" t="s">
        <v>46</v>
      </c>
    </row>
    <row r="1611" spans="1:7" x14ac:dyDescent="0.35">
      <c r="A1611" t="s">
        <v>3065</v>
      </c>
      <c r="B1611" s="4" t="s">
        <v>1132</v>
      </c>
      <c r="C1611">
        <v>1</v>
      </c>
      <c r="D1611" s="7">
        <v>1</v>
      </c>
      <c r="E1611">
        <v>1</v>
      </c>
      <c r="F1611" t="s">
        <v>1321</v>
      </c>
      <c r="G1611" t="s">
        <v>46</v>
      </c>
    </row>
    <row r="1612" spans="1:7" x14ac:dyDescent="0.35">
      <c r="A1612" t="s">
        <v>3066</v>
      </c>
      <c r="B1612" s="4" t="s">
        <v>1132</v>
      </c>
      <c r="C1612">
        <v>4</v>
      </c>
      <c r="D1612" s="7">
        <v>6</v>
      </c>
      <c r="E1612">
        <v>1</v>
      </c>
      <c r="F1612" t="s">
        <v>1324</v>
      </c>
      <c r="G1612" t="s">
        <v>46</v>
      </c>
    </row>
    <row r="1613" spans="1:7" x14ac:dyDescent="0.35">
      <c r="A1613" t="s">
        <v>3067</v>
      </c>
      <c r="B1613" s="4" t="s">
        <v>1132</v>
      </c>
      <c r="C1613">
        <v>5</v>
      </c>
      <c r="D1613" s="7">
        <v>4</v>
      </c>
      <c r="E1613">
        <v>1</v>
      </c>
      <c r="F1613" t="s">
        <v>1324</v>
      </c>
      <c r="G1613" t="s">
        <v>46</v>
      </c>
    </row>
    <row r="1614" spans="1:7" x14ac:dyDescent="0.35">
      <c r="A1614" t="s">
        <v>3068</v>
      </c>
      <c r="B1614" s="4" t="s">
        <v>1132</v>
      </c>
      <c r="C1614">
        <v>6</v>
      </c>
      <c r="D1614" s="7">
        <v>7</v>
      </c>
      <c r="E1614">
        <v>1</v>
      </c>
      <c r="F1614" t="s">
        <v>1324</v>
      </c>
      <c r="G1614" t="s">
        <v>46</v>
      </c>
    </row>
    <row r="1615" spans="1:7" x14ac:dyDescent="0.35">
      <c r="A1615" t="s">
        <v>3069</v>
      </c>
      <c r="B1615" s="4" t="s">
        <v>1132</v>
      </c>
      <c r="C1615">
        <v>9</v>
      </c>
      <c r="D1615" s="7">
        <v>5</v>
      </c>
      <c r="E1615">
        <v>1</v>
      </c>
      <c r="F1615" t="s">
        <v>1324</v>
      </c>
      <c r="G1615" t="s">
        <v>46</v>
      </c>
    </row>
    <row r="1616" spans="1:7" x14ac:dyDescent="0.35">
      <c r="A1616" t="s">
        <v>3070</v>
      </c>
      <c r="B1616" s="4" t="s">
        <v>1137</v>
      </c>
      <c r="C1616">
        <v>1</v>
      </c>
      <c r="D1616" s="7">
        <v>2</v>
      </c>
      <c r="E1616">
        <v>1</v>
      </c>
      <c r="F1616" t="s">
        <v>1321</v>
      </c>
      <c r="G1616" t="s">
        <v>46</v>
      </c>
    </row>
    <row r="1617" spans="1:7" x14ac:dyDescent="0.35">
      <c r="A1617" t="s">
        <v>3071</v>
      </c>
      <c r="B1617" s="4" t="s">
        <v>1137</v>
      </c>
      <c r="C1617">
        <v>4</v>
      </c>
      <c r="D1617" s="7">
        <v>7</v>
      </c>
      <c r="E1617">
        <v>1</v>
      </c>
      <c r="F1617" t="s">
        <v>1324</v>
      </c>
      <c r="G1617" t="s">
        <v>46</v>
      </c>
    </row>
    <row r="1618" spans="1:7" x14ac:dyDescent="0.35">
      <c r="A1618" t="s">
        <v>3072</v>
      </c>
      <c r="B1618" s="4" t="s">
        <v>1137</v>
      </c>
      <c r="C1618">
        <v>5</v>
      </c>
      <c r="D1618" s="7">
        <v>7</v>
      </c>
      <c r="E1618">
        <v>1</v>
      </c>
      <c r="F1618" t="s">
        <v>1324</v>
      </c>
      <c r="G1618" t="s">
        <v>46</v>
      </c>
    </row>
    <row r="1619" spans="1:7" x14ac:dyDescent="0.35">
      <c r="A1619" t="s">
        <v>3073</v>
      </c>
      <c r="B1619" s="4" t="s">
        <v>1137</v>
      </c>
      <c r="C1619">
        <v>6</v>
      </c>
      <c r="D1619" s="7">
        <v>7</v>
      </c>
      <c r="E1619">
        <v>1</v>
      </c>
      <c r="F1619" t="s">
        <v>1324</v>
      </c>
      <c r="G1619" t="s">
        <v>46</v>
      </c>
    </row>
    <row r="1620" spans="1:7" x14ac:dyDescent="0.35">
      <c r="A1620" t="s">
        <v>3074</v>
      </c>
      <c r="B1620" s="4" t="s">
        <v>1137</v>
      </c>
      <c r="C1620">
        <v>9</v>
      </c>
      <c r="D1620" s="7">
        <v>7</v>
      </c>
      <c r="E1620">
        <v>1</v>
      </c>
      <c r="F1620" t="s">
        <v>1324</v>
      </c>
      <c r="G1620" t="s">
        <v>46</v>
      </c>
    </row>
    <row r="1621" spans="1:7" x14ac:dyDescent="0.35">
      <c r="A1621" t="s">
        <v>3075</v>
      </c>
      <c r="B1621" s="4" t="s">
        <v>1139</v>
      </c>
      <c r="C1621">
        <v>4</v>
      </c>
      <c r="D1621" s="7">
        <v>8</v>
      </c>
      <c r="E1621">
        <v>1</v>
      </c>
      <c r="F1621" t="s">
        <v>1324</v>
      </c>
      <c r="G1621" t="s">
        <v>46</v>
      </c>
    </row>
    <row r="1622" spans="1:7" x14ac:dyDescent="0.35">
      <c r="A1622" t="s">
        <v>3076</v>
      </c>
      <c r="B1622" s="4" t="s">
        <v>1139</v>
      </c>
      <c r="C1622">
        <v>5</v>
      </c>
      <c r="D1622" s="7">
        <v>11</v>
      </c>
      <c r="E1622">
        <v>1</v>
      </c>
      <c r="F1622" t="s">
        <v>1324</v>
      </c>
      <c r="G1622" t="s">
        <v>46</v>
      </c>
    </row>
    <row r="1623" spans="1:7" x14ac:dyDescent="0.35">
      <c r="A1623" t="s">
        <v>3077</v>
      </c>
      <c r="B1623" s="4" t="s">
        <v>1139</v>
      </c>
      <c r="C1623">
        <v>6</v>
      </c>
      <c r="D1623" s="7">
        <v>12</v>
      </c>
      <c r="E1623">
        <v>1</v>
      </c>
      <c r="F1623" t="s">
        <v>1324</v>
      </c>
      <c r="G1623" t="s">
        <v>46</v>
      </c>
    </row>
    <row r="1624" spans="1:7" x14ac:dyDescent="0.35">
      <c r="A1624" t="s">
        <v>3078</v>
      </c>
      <c r="B1624" s="4" t="s">
        <v>1139</v>
      </c>
      <c r="C1624">
        <v>9</v>
      </c>
      <c r="D1624" s="7">
        <v>8</v>
      </c>
      <c r="E1624">
        <v>1</v>
      </c>
      <c r="F1624" t="s">
        <v>1324</v>
      </c>
      <c r="G1624" t="s">
        <v>46</v>
      </c>
    </row>
    <row r="1625" spans="1:7" x14ac:dyDescent="0.35">
      <c r="A1625" t="s">
        <v>3079</v>
      </c>
      <c r="B1625" s="4" t="s">
        <v>1141</v>
      </c>
      <c r="C1625">
        <v>1</v>
      </c>
      <c r="D1625" s="7">
        <v>4</v>
      </c>
      <c r="E1625">
        <v>1</v>
      </c>
      <c r="F1625" t="s">
        <v>1321</v>
      </c>
      <c r="G1625" t="s">
        <v>46</v>
      </c>
    </row>
    <row r="1626" spans="1:7" x14ac:dyDescent="0.35">
      <c r="A1626" t="s">
        <v>3080</v>
      </c>
      <c r="B1626" s="4" t="s">
        <v>1141</v>
      </c>
      <c r="C1626">
        <v>1</v>
      </c>
      <c r="D1626" s="7">
        <v>2</v>
      </c>
      <c r="E1626">
        <v>2</v>
      </c>
      <c r="F1626" t="s">
        <v>1321</v>
      </c>
      <c r="G1626" t="s">
        <v>54</v>
      </c>
    </row>
    <row r="1627" spans="1:7" x14ac:dyDescent="0.35">
      <c r="A1627" t="s">
        <v>3081</v>
      </c>
      <c r="B1627" s="4" t="s">
        <v>1141</v>
      </c>
      <c r="C1627">
        <v>4</v>
      </c>
      <c r="D1627" s="7">
        <v>15</v>
      </c>
      <c r="E1627">
        <v>1</v>
      </c>
      <c r="F1627" t="s">
        <v>1324</v>
      </c>
      <c r="G1627" t="s">
        <v>46</v>
      </c>
    </row>
    <row r="1628" spans="1:7" x14ac:dyDescent="0.35">
      <c r="A1628" t="s">
        <v>3082</v>
      </c>
      <c r="B1628" s="4" t="s">
        <v>1141</v>
      </c>
      <c r="C1628">
        <v>5</v>
      </c>
      <c r="D1628" s="7">
        <v>9</v>
      </c>
      <c r="E1628">
        <v>1</v>
      </c>
      <c r="F1628" t="s">
        <v>1324</v>
      </c>
      <c r="G1628" t="s">
        <v>46</v>
      </c>
    </row>
    <row r="1629" spans="1:7" x14ac:dyDescent="0.35">
      <c r="A1629" t="s">
        <v>3083</v>
      </c>
      <c r="B1629" s="4" t="s">
        <v>1141</v>
      </c>
      <c r="C1629">
        <v>6</v>
      </c>
      <c r="D1629" s="7">
        <v>9</v>
      </c>
      <c r="E1629">
        <v>1</v>
      </c>
      <c r="F1629" t="s">
        <v>1324</v>
      </c>
      <c r="G1629" t="s">
        <v>46</v>
      </c>
    </row>
    <row r="1630" spans="1:7" x14ac:dyDescent="0.35">
      <c r="A1630" t="s">
        <v>3084</v>
      </c>
      <c r="B1630" s="4" t="s">
        <v>1141</v>
      </c>
      <c r="C1630">
        <v>9</v>
      </c>
      <c r="D1630" s="7">
        <v>12</v>
      </c>
      <c r="E1630">
        <v>1</v>
      </c>
      <c r="F1630" t="s">
        <v>1324</v>
      </c>
      <c r="G1630" t="s">
        <v>46</v>
      </c>
    </row>
    <row r="1631" spans="1:7" x14ac:dyDescent="0.35">
      <c r="A1631" t="s">
        <v>3085</v>
      </c>
      <c r="B1631" s="4" t="s">
        <v>3086</v>
      </c>
      <c r="C1631">
        <v>4</v>
      </c>
      <c r="D1631" s="7">
        <v>8</v>
      </c>
      <c r="E1631">
        <v>1</v>
      </c>
      <c r="F1631" t="s">
        <v>1324</v>
      </c>
      <c r="G1631" t="s">
        <v>46</v>
      </c>
    </row>
    <row r="1632" spans="1:7" x14ac:dyDescent="0.35">
      <c r="A1632" t="s">
        <v>3087</v>
      </c>
      <c r="B1632" s="4" t="s">
        <v>3086</v>
      </c>
      <c r="C1632">
        <v>5</v>
      </c>
      <c r="D1632" s="7">
        <v>15</v>
      </c>
      <c r="E1632">
        <v>1</v>
      </c>
      <c r="F1632" t="s">
        <v>1324</v>
      </c>
      <c r="G1632" t="s">
        <v>46</v>
      </c>
    </row>
    <row r="1633" spans="1:7" x14ac:dyDescent="0.35">
      <c r="A1633" t="s">
        <v>3088</v>
      </c>
      <c r="B1633" s="4" t="s">
        <v>3086</v>
      </c>
      <c r="C1633">
        <v>6</v>
      </c>
      <c r="D1633" s="7">
        <v>11</v>
      </c>
      <c r="E1633">
        <v>1</v>
      </c>
      <c r="F1633" t="s">
        <v>1324</v>
      </c>
      <c r="G1633" t="s">
        <v>46</v>
      </c>
    </row>
    <row r="1634" spans="1:7" x14ac:dyDescent="0.35">
      <c r="A1634" t="s">
        <v>3089</v>
      </c>
      <c r="B1634" s="4" t="s">
        <v>3086</v>
      </c>
      <c r="C1634">
        <v>9</v>
      </c>
      <c r="D1634" s="7">
        <v>14</v>
      </c>
      <c r="E1634">
        <v>1</v>
      </c>
      <c r="F1634" t="s">
        <v>1324</v>
      </c>
      <c r="G1634" t="s">
        <v>46</v>
      </c>
    </row>
    <row r="1635" spans="1:7" x14ac:dyDescent="0.35">
      <c r="A1635" t="s">
        <v>3090</v>
      </c>
      <c r="B1635" s="4" t="s">
        <v>3091</v>
      </c>
      <c r="C1635">
        <v>1</v>
      </c>
      <c r="D1635" s="7">
        <v>3</v>
      </c>
      <c r="E1635">
        <v>1</v>
      </c>
      <c r="F1635" t="s">
        <v>1321</v>
      </c>
      <c r="G1635" t="s">
        <v>46</v>
      </c>
    </row>
    <row r="1636" spans="1:7" x14ac:dyDescent="0.35">
      <c r="A1636" t="s">
        <v>3092</v>
      </c>
      <c r="B1636" s="4" t="s">
        <v>3091</v>
      </c>
      <c r="C1636">
        <v>1</v>
      </c>
      <c r="D1636" s="7">
        <v>1</v>
      </c>
      <c r="E1636">
        <v>2</v>
      </c>
      <c r="F1636" t="s">
        <v>1321</v>
      </c>
      <c r="G1636" t="s">
        <v>54</v>
      </c>
    </row>
    <row r="1637" spans="1:7" x14ac:dyDescent="0.35">
      <c r="A1637" t="s">
        <v>3093</v>
      </c>
      <c r="B1637" s="4" t="s">
        <v>3091</v>
      </c>
      <c r="C1637">
        <v>4</v>
      </c>
      <c r="D1637" s="7">
        <v>13</v>
      </c>
      <c r="E1637">
        <v>1</v>
      </c>
      <c r="F1637" t="s">
        <v>1324</v>
      </c>
      <c r="G1637" t="s">
        <v>46</v>
      </c>
    </row>
    <row r="1638" spans="1:7" x14ac:dyDescent="0.35">
      <c r="A1638" t="s">
        <v>3094</v>
      </c>
      <c r="B1638" s="4" t="s">
        <v>3091</v>
      </c>
      <c r="C1638">
        <v>5</v>
      </c>
      <c r="D1638" s="7">
        <v>9</v>
      </c>
      <c r="E1638">
        <v>1</v>
      </c>
      <c r="F1638" t="s">
        <v>1324</v>
      </c>
      <c r="G1638" t="s">
        <v>46</v>
      </c>
    </row>
    <row r="1639" spans="1:7" x14ac:dyDescent="0.35">
      <c r="A1639" t="s">
        <v>3095</v>
      </c>
      <c r="B1639" s="4" t="s">
        <v>3091</v>
      </c>
      <c r="C1639">
        <v>6</v>
      </c>
      <c r="D1639" s="7">
        <v>15</v>
      </c>
      <c r="E1639">
        <v>1</v>
      </c>
      <c r="F1639" t="s">
        <v>1324</v>
      </c>
      <c r="G1639" t="s">
        <v>46</v>
      </c>
    </row>
    <row r="1640" spans="1:7" x14ac:dyDescent="0.35">
      <c r="A1640" t="s">
        <v>3096</v>
      </c>
      <c r="B1640" s="4" t="s">
        <v>3091</v>
      </c>
      <c r="C1640">
        <v>9</v>
      </c>
      <c r="D1640" s="7">
        <v>9</v>
      </c>
      <c r="E1640">
        <v>1</v>
      </c>
      <c r="F1640" t="s">
        <v>1324</v>
      </c>
      <c r="G1640" t="s">
        <v>46</v>
      </c>
    </row>
    <row r="1641" spans="1:7" x14ac:dyDescent="0.35">
      <c r="A1641" t="s">
        <v>3097</v>
      </c>
      <c r="B1641" s="4" t="s">
        <v>3098</v>
      </c>
      <c r="C1641">
        <v>1</v>
      </c>
      <c r="D1641" s="7">
        <v>3</v>
      </c>
      <c r="E1641">
        <v>2</v>
      </c>
      <c r="F1641" t="s">
        <v>1321</v>
      </c>
      <c r="G1641" t="s">
        <v>54</v>
      </c>
    </row>
    <row r="1642" spans="1:7" x14ac:dyDescent="0.35">
      <c r="A1642" t="s">
        <v>3099</v>
      </c>
      <c r="B1642" s="4" t="s">
        <v>3098</v>
      </c>
      <c r="C1642">
        <v>4</v>
      </c>
      <c r="D1642" s="7">
        <v>13</v>
      </c>
      <c r="E1642">
        <v>1</v>
      </c>
      <c r="F1642" t="s">
        <v>1324</v>
      </c>
      <c r="G1642" t="s">
        <v>46</v>
      </c>
    </row>
    <row r="1643" spans="1:7" x14ac:dyDescent="0.35">
      <c r="A1643" t="s">
        <v>3100</v>
      </c>
      <c r="B1643" s="4" t="s">
        <v>3098</v>
      </c>
      <c r="C1643">
        <v>5</v>
      </c>
      <c r="D1643" s="7">
        <v>14</v>
      </c>
      <c r="E1643">
        <v>1</v>
      </c>
      <c r="F1643" t="s">
        <v>1324</v>
      </c>
      <c r="G1643" t="s">
        <v>46</v>
      </c>
    </row>
    <row r="1644" spans="1:7" x14ac:dyDescent="0.35">
      <c r="A1644" t="s">
        <v>3101</v>
      </c>
      <c r="B1644" s="4" t="s">
        <v>3098</v>
      </c>
      <c r="C1644">
        <v>6</v>
      </c>
      <c r="D1644" s="7">
        <v>10</v>
      </c>
      <c r="E1644">
        <v>1</v>
      </c>
      <c r="F1644" t="s">
        <v>1324</v>
      </c>
      <c r="G1644" t="s">
        <v>46</v>
      </c>
    </row>
    <row r="1645" spans="1:7" x14ac:dyDescent="0.35">
      <c r="A1645" t="s">
        <v>3102</v>
      </c>
      <c r="B1645" s="4" t="s">
        <v>3098</v>
      </c>
      <c r="C1645">
        <v>9</v>
      </c>
      <c r="D1645" s="7">
        <v>10</v>
      </c>
      <c r="E1645">
        <v>1</v>
      </c>
      <c r="F1645" t="s">
        <v>1324</v>
      </c>
      <c r="G1645" t="s">
        <v>46</v>
      </c>
    </row>
    <row r="1646" spans="1:7" x14ac:dyDescent="0.35">
      <c r="A1646" t="s">
        <v>3103</v>
      </c>
      <c r="B1646" s="4" t="s">
        <v>3104</v>
      </c>
      <c r="C1646">
        <v>4</v>
      </c>
      <c r="D1646" s="7">
        <v>6</v>
      </c>
      <c r="E1646">
        <v>1</v>
      </c>
      <c r="F1646" t="s">
        <v>1324</v>
      </c>
      <c r="G1646" t="s">
        <v>46</v>
      </c>
    </row>
    <row r="1647" spans="1:7" x14ac:dyDescent="0.35">
      <c r="A1647" t="s">
        <v>3105</v>
      </c>
      <c r="B1647" s="4" t="s">
        <v>3104</v>
      </c>
      <c r="C1647">
        <v>5</v>
      </c>
      <c r="D1647" s="7">
        <v>6</v>
      </c>
      <c r="E1647">
        <v>1</v>
      </c>
      <c r="F1647" t="s">
        <v>1324</v>
      </c>
      <c r="G1647" t="s">
        <v>46</v>
      </c>
    </row>
    <row r="1648" spans="1:7" x14ac:dyDescent="0.35">
      <c r="A1648" t="s">
        <v>3106</v>
      </c>
      <c r="B1648" s="4" t="s">
        <v>3104</v>
      </c>
      <c r="C1648">
        <v>6</v>
      </c>
      <c r="D1648" s="7">
        <v>5</v>
      </c>
      <c r="E1648">
        <v>1</v>
      </c>
      <c r="F1648" t="s">
        <v>1324</v>
      </c>
      <c r="G1648" t="s">
        <v>46</v>
      </c>
    </row>
    <row r="1649" spans="1:7" x14ac:dyDescent="0.35">
      <c r="A1649" t="s">
        <v>3107</v>
      </c>
      <c r="B1649" s="4" t="s">
        <v>3104</v>
      </c>
      <c r="C1649">
        <v>9</v>
      </c>
      <c r="D1649" s="7">
        <v>6</v>
      </c>
      <c r="E1649">
        <v>1</v>
      </c>
      <c r="F1649" t="s">
        <v>1324</v>
      </c>
      <c r="G1649" t="s">
        <v>46</v>
      </c>
    </row>
    <row r="1650" spans="1:7" x14ac:dyDescent="0.35">
      <c r="A1650" t="s">
        <v>3108</v>
      </c>
      <c r="B1650" s="4" t="s">
        <v>3109</v>
      </c>
      <c r="C1650">
        <v>4</v>
      </c>
      <c r="D1650" s="7">
        <v>4</v>
      </c>
      <c r="E1650">
        <v>1</v>
      </c>
      <c r="F1650" t="s">
        <v>1324</v>
      </c>
      <c r="G1650" t="s">
        <v>46</v>
      </c>
    </row>
    <row r="1651" spans="1:7" x14ac:dyDescent="0.35">
      <c r="A1651" t="s">
        <v>3110</v>
      </c>
      <c r="B1651" s="4" t="s">
        <v>3109</v>
      </c>
      <c r="C1651">
        <v>5</v>
      </c>
      <c r="D1651" s="7">
        <v>5</v>
      </c>
      <c r="E1651">
        <v>1</v>
      </c>
      <c r="F1651" t="s">
        <v>1324</v>
      </c>
      <c r="G1651" t="s">
        <v>46</v>
      </c>
    </row>
    <row r="1652" spans="1:7" x14ac:dyDescent="0.35">
      <c r="A1652" t="s">
        <v>3111</v>
      </c>
      <c r="B1652" s="4" t="s">
        <v>3109</v>
      </c>
      <c r="C1652">
        <v>6</v>
      </c>
      <c r="D1652" s="7">
        <v>7</v>
      </c>
      <c r="E1652">
        <v>1</v>
      </c>
      <c r="F1652" t="s">
        <v>1324</v>
      </c>
      <c r="G1652" t="s">
        <v>46</v>
      </c>
    </row>
    <row r="1653" spans="1:7" x14ac:dyDescent="0.35">
      <c r="A1653" t="s">
        <v>3112</v>
      </c>
      <c r="B1653" s="4" t="s">
        <v>3109</v>
      </c>
      <c r="C1653">
        <v>9</v>
      </c>
      <c r="D1653" s="7">
        <v>4</v>
      </c>
      <c r="E1653">
        <v>1</v>
      </c>
      <c r="F1653" t="s">
        <v>1324</v>
      </c>
      <c r="G1653" t="s">
        <v>46</v>
      </c>
    </row>
    <row r="1654" spans="1:7" x14ac:dyDescent="0.35">
      <c r="A1654" t="s">
        <v>3113</v>
      </c>
      <c r="B1654" s="4" t="s">
        <v>3114</v>
      </c>
      <c r="C1654">
        <v>4</v>
      </c>
      <c r="D1654" s="7">
        <v>10</v>
      </c>
      <c r="E1654">
        <v>1</v>
      </c>
      <c r="F1654" t="s">
        <v>1324</v>
      </c>
      <c r="G1654" t="s">
        <v>46</v>
      </c>
    </row>
    <row r="1655" spans="1:7" x14ac:dyDescent="0.35">
      <c r="A1655" t="s">
        <v>3115</v>
      </c>
      <c r="B1655" s="4" t="s">
        <v>3114</v>
      </c>
      <c r="C1655">
        <v>5</v>
      </c>
      <c r="D1655" s="7">
        <v>11</v>
      </c>
      <c r="E1655">
        <v>1</v>
      </c>
      <c r="F1655" t="s">
        <v>1324</v>
      </c>
      <c r="G1655" t="s">
        <v>46</v>
      </c>
    </row>
    <row r="1656" spans="1:7" x14ac:dyDescent="0.35">
      <c r="A1656" t="s">
        <v>3116</v>
      </c>
      <c r="B1656" s="4" t="s">
        <v>3114</v>
      </c>
      <c r="C1656">
        <v>6</v>
      </c>
      <c r="D1656" s="7">
        <v>10</v>
      </c>
      <c r="E1656">
        <v>1</v>
      </c>
      <c r="F1656" t="s">
        <v>1324</v>
      </c>
      <c r="G1656" t="s">
        <v>46</v>
      </c>
    </row>
    <row r="1657" spans="1:7" x14ac:dyDescent="0.35">
      <c r="A1657" t="s">
        <v>3117</v>
      </c>
      <c r="B1657" s="4" t="s">
        <v>3114</v>
      </c>
      <c r="C1657">
        <v>9</v>
      </c>
      <c r="D1657" s="7">
        <v>13</v>
      </c>
      <c r="E1657">
        <v>1</v>
      </c>
      <c r="F1657" t="s">
        <v>1324</v>
      </c>
      <c r="G1657" t="s">
        <v>46</v>
      </c>
    </row>
    <row r="1658" spans="1:7" x14ac:dyDescent="0.35">
      <c r="A1658" t="s">
        <v>3118</v>
      </c>
      <c r="B1658" s="4" t="s">
        <v>3119</v>
      </c>
      <c r="C1658">
        <v>4</v>
      </c>
      <c r="D1658" s="7">
        <v>15</v>
      </c>
      <c r="E1658">
        <v>1</v>
      </c>
      <c r="F1658" t="s">
        <v>1324</v>
      </c>
      <c r="G1658" t="s">
        <v>46</v>
      </c>
    </row>
    <row r="1659" spans="1:7" x14ac:dyDescent="0.35">
      <c r="A1659" t="s">
        <v>3120</v>
      </c>
      <c r="B1659" s="4" t="s">
        <v>3119</v>
      </c>
      <c r="C1659">
        <v>5</v>
      </c>
      <c r="D1659" s="7">
        <v>10</v>
      </c>
      <c r="E1659">
        <v>1</v>
      </c>
      <c r="F1659" t="s">
        <v>1324</v>
      </c>
      <c r="G1659" t="s">
        <v>46</v>
      </c>
    </row>
    <row r="1660" spans="1:7" x14ac:dyDescent="0.35">
      <c r="A1660" t="s">
        <v>3121</v>
      </c>
      <c r="B1660" s="4" t="s">
        <v>3119</v>
      </c>
      <c r="C1660">
        <v>6</v>
      </c>
      <c r="D1660" s="7">
        <v>12</v>
      </c>
      <c r="E1660">
        <v>1</v>
      </c>
      <c r="F1660" t="s">
        <v>1324</v>
      </c>
      <c r="G1660" t="s">
        <v>46</v>
      </c>
    </row>
    <row r="1661" spans="1:7" x14ac:dyDescent="0.35">
      <c r="A1661" t="s">
        <v>3122</v>
      </c>
      <c r="B1661" s="4" t="s">
        <v>3119</v>
      </c>
      <c r="C1661">
        <v>9</v>
      </c>
      <c r="D1661" s="7">
        <v>14</v>
      </c>
      <c r="E1661">
        <v>1</v>
      </c>
      <c r="F1661" t="s">
        <v>1324</v>
      </c>
      <c r="G1661" t="s">
        <v>46</v>
      </c>
    </row>
    <row r="1662" spans="1:7" x14ac:dyDescent="0.35">
      <c r="A1662" t="s">
        <v>3123</v>
      </c>
      <c r="B1662" s="4" t="s">
        <v>3124</v>
      </c>
      <c r="C1662">
        <v>1</v>
      </c>
      <c r="D1662" s="7">
        <v>2</v>
      </c>
      <c r="E1662">
        <v>1</v>
      </c>
      <c r="F1662" t="s">
        <v>1321</v>
      </c>
      <c r="G1662" t="s">
        <v>46</v>
      </c>
    </row>
    <row r="1663" spans="1:7" x14ac:dyDescent="0.35">
      <c r="A1663" t="s">
        <v>3125</v>
      </c>
      <c r="B1663" s="4" t="s">
        <v>3124</v>
      </c>
      <c r="C1663">
        <v>4</v>
      </c>
      <c r="D1663" s="7">
        <v>9</v>
      </c>
      <c r="E1663">
        <v>1</v>
      </c>
      <c r="F1663" t="s">
        <v>1324</v>
      </c>
      <c r="G1663" t="s">
        <v>46</v>
      </c>
    </row>
    <row r="1664" spans="1:7" x14ac:dyDescent="0.35">
      <c r="A1664" t="s">
        <v>3126</v>
      </c>
      <c r="B1664" s="4" t="s">
        <v>3124</v>
      </c>
      <c r="C1664">
        <v>5</v>
      </c>
      <c r="D1664" s="7">
        <v>14</v>
      </c>
      <c r="E1664">
        <v>1</v>
      </c>
      <c r="F1664" t="s">
        <v>1324</v>
      </c>
      <c r="G1664" t="s">
        <v>46</v>
      </c>
    </row>
    <row r="1665" spans="1:7" x14ac:dyDescent="0.35">
      <c r="A1665" t="s">
        <v>3127</v>
      </c>
      <c r="B1665" s="4" t="s">
        <v>3124</v>
      </c>
      <c r="C1665">
        <v>6</v>
      </c>
      <c r="D1665" s="7">
        <v>12</v>
      </c>
      <c r="E1665">
        <v>1</v>
      </c>
      <c r="F1665" t="s">
        <v>1324</v>
      </c>
      <c r="G1665" t="s">
        <v>46</v>
      </c>
    </row>
    <row r="1666" spans="1:7" x14ac:dyDescent="0.35">
      <c r="A1666" t="s">
        <v>3128</v>
      </c>
      <c r="B1666" s="4" t="s">
        <v>3124</v>
      </c>
      <c r="C1666">
        <v>9</v>
      </c>
      <c r="D1666" s="7">
        <v>13</v>
      </c>
      <c r="E1666">
        <v>1</v>
      </c>
      <c r="F1666" t="s">
        <v>1324</v>
      </c>
      <c r="G1666" t="s">
        <v>46</v>
      </c>
    </row>
    <row r="1667" spans="1:7" x14ac:dyDescent="0.35">
      <c r="A1667" t="s">
        <v>3129</v>
      </c>
      <c r="B1667" s="4" t="s">
        <v>3130</v>
      </c>
      <c r="C1667">
        <v>4</v>
      </c>
      <c r="D1667" s="7">
        <v>9</v>
      </c>
      <c r="E1667">
        <v>1</v>
      </c>
      <c r="F1667" t="s">
        <v>1324</v>
      </c>
      <c r="G1667" t="s">
        <v>46</v>
      </c>
    </row>
    <row r="1668" spans="1:7" x14ac:dyDescent="0.35">
      <c r="A1668" t="s">
        <v>3131</v>
      </c>
      <c r="B1668" s="4" t="s">
        <v>3130</v>
      </c>
      <c r="C1668">
        <v>5</v>
      </c>
      <c r="D1668" s="7">
        <v>15</v>
      </c>
      <c r="E1668">
        <v>1</v>
      </c>
      <c r="F1668" t="s">
        <v>1324</v>
      </c>
      <c r="G1668" t="s">
        <v>46</v>
      </c>
    </row>
    <row r="1669" spans="1:7" x14ac:dyDescent="0.35">
      <c r="A1669" t="s">
        <v>3132</v>
      </c>
      <c r="B1669" s="4" t="s">
        <v>3130</v>
      </c>
      <c r="C1669">
        <v>6</v>
      </c>
      <c r="D1669" s="7">
        <v>13</v>
      </c>
      <c r="E1669">
        <v>1</v>
      </c>
      <c r="F1669" t="s">
        <v>1324</v>
      </c>
      <c r="G1669" t="s">
        <v>46</v>
      </c>
    </row>
    <row r="1670" spans="1:7" x14ac:dyDescent="0.35">
      <c r="A1670" t="s">
        <v>3133</v>
      </c>
      <c r="B1670" s="4" t="s">
        <v>3130</v>
      </c>
      <c r="C1670">
        <v>9</v>
      </c>
      <c r="D1670" s="7">
        <v>9</v>
      </c>
      <c r="E1670">
        <v>1</v>
      </c>
      <c r="F1670" t="s">
        <v>1324</v>
      </c>
      <c r="G1670" t="s">
        <v>46</v>
      </c>
    </row>
    <row r="1671" spans="1:7" x14ac:dyDescent="0.35">
      <c r="A1671" t="s">
        <v>3134</v>
      </c>
      <c r="B1671" s="4" t="s">
        <v>3135</v>
      </c>
      <c r="C1671">
        <v>4</v>
      </c>
      <c r="D1671" s="7">
        <v>11</v>
      </c>
      <c r="E1671">
        <v>1</v>
      </c>
      <c r="F1671" t="s">
        <v>1324</v>
      </c>
      <c r="G1671" t="s">
        <v>46</v>
      </c>
    </row>
    <row r="1672" spans="1:7" x14ac:dyDescent="0.35">
      <c r="A1672" t="s">
        <v>3136</v>
      </c>
      <c r="B1672" s="4" t="s">
        <v>3135</v>
      </c>
      <c r="C1672">
        <v>5</v>
      </c>
      <c r="D1672" s="7">
        <v>15</v>
      </c>
      <c r="E1672">
        <v>1</v>
      </c>
      <c r="F1672" t="s">
        <v>1324</v>
      </c>
      <c r="G1672" t="s">
        <v>46</v>
      </c>
    </row>
    <row r="1673" spans="1:7" x14ac:dyDescent="0.35">
      <c r="A1673" t="s">
        <v>3137</v>
      </c>
      <c r="B1673" s="4" t="s">
        <v>3135</v>
      </c>
      <c r="C1673">
        <v>6</v>
      </c>
      <c r="D1673" s="7">
        <v>12</v>
      </c>
      <c r="E1673">
        <v>1</v>
      </c>
      <c r="F1673" t="s">
        <v>1324</v>
      </c>
      <c r="G1673" t="s">
        <v>46</v>
      </c>
    </row>
    <row r="1674" spans="1:7" x14ac:dyDescent="0.35">
      <c r="A1674" t="s">
        <v>3138</v>
      </c>
      <c r="B1674" s="4" t="s">
        <v>3135</v>
      </c>
      <c r="C1674">
        <v>9</v>
      </c>
      <c r="D1674" s="7">
        <v>13</v>
      </c>
      <c r="E1674">
        <v>1</v>
      </c>
      <c r="F1674" t="s">
        <v>1324</v>
      </c>
      <c r="G1674" t="s">
        <v>46</v>
      </c>
    </row>
    <row r="1675" spans="1:7" x14ac:dyDescent="0.35">
      <c r="A1675" t="s">
        <v>3139</v>
      </c>
      <c r="B1675" s="4" t="s">
        <v>3140</v>
      </c>
      <c r="C1675">
        <v>4</v>
      </c>
      <c r="D1675" s="7">
        <v>7</v>
      </c>
      <c r="E1675">
        <v>1</v>
      </c>
      <c r="F1675" t="s">
        <v>1324</v>
      </c>
      <c r="G1675" t="s">
        <v>46</v>
      </c>
    </row>
    <row r="1676" spans="1:7" x14ac:dyDescent="0.35">
      <c r="A1676" t="s">
        <v>3141</v>
      </c>
      <c r="B1676" s="4" t="s">
        <v>3140</v>
      </c>
      <c r="C1676">
        <v>5</v>
      </c>
      <c r="D1676" s="7">
        <v>6</v>
      </c>
      <c r="E1676">
        <v>1</v>
      </c>
      <c r="F1676" t="s">
        <v>1324</v>
      </c>
      <c r="G1676" t="s">
        <v>46</v>
      </c>
    </row>
    <row r="1677" spans="1:7" x14ac:dyDescent="0.35">
      <c r="A1677" t="s">
        <v>3142</v>
      </c>
      <c r="B1677" s="4" t="s">
        <v>3140</v>
      </c>
      <c r="C1677">
        <v>6</v>
      </c>
      <c r="D1677" s="7">
        <v>4</v>
      </c>
      <c r="E1677">
        <v>1</v>
      </c>
      <c r="F1677" t="s">
        <v>1324</v>
      </c>
      <c r="G1677" t="s">
        <v>46</v>
      </c>
    </row>
    <row r="1678" spans="1:7" x14ac:dyDescent="0.35">
      <c r="A1678" t="s">
        <v>3143</v>
      </c>
      <c r="B1678" s="4" t="s">
        <v>3140</v>
      </c>
      <c r="C1678">
        <v>9</v>
      </c>
      <c r="D1678" s="7">
        <v>4</v>
      </c>
      <c r="E1678">
        <v>1</v>
      </c>
      <c r="F1678" t="s">
        <v>1324</v>
      </c>
      <c r="G1678" t="s">
        <v>46</v>
      </c>
    </row>
    <row r="1679" spans="1:7" x14ac:dyDescent="0.35">
      <c r="A1679" t="s">
        <v>3144</v>
      </c>
      <c r="B1679" s="4" t="s">
        <v>3145</v>
      </c>
      <c r="C1679">
        <v>1</v>
      </c>
      <c r="D1679" s="7">
        <v>2</v>
      </c>
      <c r="E1679">
        <v>1</v>
      </c>
      <c r="F1679" t="s">
        <v>1321</v>
      </c>
      <c r="G1679" t="s">
        <v>46</v>
      </c>
    </row>
    <row r="1680" spans="1:7" x14ac:dyDescent="0.35">
      <c r="A1680" t="s">
        <v>3146</v>
      </c>
      <c r="B1680" s="4" t="s">
        <v>3145</v>
      </c>
      <c r="C1680">
        <v>4</v>
      </c>
      <c r="D1680" s="7">
        <v>4</v>
      </c>
      <c r="E1680">
        <v>1</v>
      </c>
      <c r="F1680" t="s">
        <v>1324</v>
      </c>
      <c r="G1680" t="s">
        <v>46</v>
      </c>
    </row>
    <row r="1681" spans="1:7" x14ac:dyDescent="0.35">
      <c r="A1681" t="s">
        <v>3147</v>
      </c>
      <c r="B1681" s="4" t="s">
        <v>3145</v>
      </c>
      <c r="C1681">
        <v>5</v>
      </c>
      <c r="D1681" s="7">
        <v>7</v>
      </c>
      <c r="E1681">
        <v>1</v>
      </c>
      <c r="F1681" t="s">
        <v>1324</v>
      </c>
      <c r="G1681" t="s">
        <v>46</v>
      </c>
    </row>
    <row r="1682" spans="1:7" x14ac:dyDescent="0.35">
      <c r="A1682" t="s">
        <v>3148</v>
      </c>
      <c r="B1682" s="4" t="s">
        <v>3145</v>
      </c>
      <c r="C1682">
        <v>6</v>
      </c>
      <c r="D1682" s="7">
        <v>5</v>
      </c>
      <c r="E1682">
        <v>1</v>
      </c>
      <c r="F1682" t="s">
        <v>1324</v>
      </c>
      <c r="G1682" t="s">
        <v>46</v>
      </c>
    </row>
    <row r="1683" spans="1:7" x14ac:dyDescent="0.35">
      <c r="A1683" t="s">
        <v>3149</v>
      </c>
      <c r="B1683" s="4" t="s">
        <v>3145</v>
      </c>
      <c r="C1683">
        <v>9</v>
      </c>
      <c r="D1683" s="7">
        <v>5</v>
      </c>
      <c r="E1683">
        <v>1</v>
      </c>
      <c r="F1683" t="s">
        <v>1324</v>
      </c>
      <c r="G1683" t="s">
        <v>46</v>
      </c>
    </row>
    <row r="1684" spans="1:7" x14ac:dyDescent="0.35">
      <c r="A1684" t="s">
        <v>3150</v>
      </c>
      <c r="B1684" s="4" t="s">
        <v>1143</v>
      </c>
      <c r="C1684">
        <v>4</v>
      </c>
      <c r="D1684" s="7">
        <v>12</v>
      </c>
      <c r="E1684">
        <v>1</v>
      </c>
      <c r="F1684" t="s">
        <v>1324</v>
      </c>
      <c r="G1684" t="s">
        <v>46</v>
      </c>
    </row>
    <row r="1685" spans="1:7" x14ac:dyDescent="0.35">
      <c r="A1685" t="s">
        <v>3151</v>
      </c>
      <c r="B1685" s="4" t="s">
        <v>1143</v>
      </c>
      <c r="C1685">
        <v>5</v>
      </c>
      <c r="D1685" s="7">
        <v>9</v>
      </c>
      <c r="E1685">
        <v>1</v>
      </c>
      <c r="F1685" t="s">
        <v>1324</v>
      </c>
      <c r="G1685" t="s">
        <v>46</v>
      </c>
    </row>
    <row r="1686" spans="1:7" x14ac:dyDescent="0.35">
      <c r="A1686" t="s">
        <v>3152</v>
      </c>
      <c r="B1686" s="4" t="s">
        <v>1143</v>
      </c>
      <c r="C1686">
        <v>6</v>
      </c>
      <c r="D1686" s="7">
        <v>13</v>
      </c>
      <c r="E1686">
        <v>1</v>
      </c>
      <c r="F1686" t="s">
        <v>1324</v>
      </c>
      <c r="G1686" t="s">
        <v>46</v>
      </c>
    </row>
    <row r="1687" spans="1:7" x14ac:dyDescent="0.35">
      <c r="A1687" t="s">
        <v>3153</v>
      </c>
      <c r="B1687" s="4" t="s">
        <v>1143</v>
      </c>
      <c r="C1687">
        <v>9</v>
      </c>
      <c r="D1687" s="7">
        <v>12</v>
      </c>
      <c r="E1687">
        <v>1</v>
      </c>
      <c r="F1687" t="s">
        <v>1324</v>
      </c>
      <c r="G1687" t="s">
        <v>46</v>
      </c>
    </row>
    <row r="1688" spans="1:7" x14ac:dyDescent="0.35">
      <c r="A1688" t="s">
        <v>3154</v>
      </c>
      <c r="B1688" s="4" t="s">
        <v>1149</v>
      </c>
      <c r="C1688">
        <v>1</v>
      </c>
      <c r="D1688" s="7">
        <v>3</v>
      </c>
      <c r="E1688">
        <v>1</v>
      </c>
      <c r="F1688" t="s">
        <v>1321</v>
      </c>
      <c r="G1688" t="s">
        <v>46</v>
      </c>
    </row>
    <row r="1689" spans="1:7" x14ac:dyDescent="0.35">
      <c r="A1689" t="s">
        <v>3155</v>
      </c>
      <c r="B1689" s="4" t="s">
        <v>1149</v>
      </c>
      <c r="C1689">
        <v>1</v>
      </c>
      <c r="D1689" s="7">
        <v>3</v>
      </c>
      <c r="E1689">
        <v>2</v>
      </c>
      <c r="F1689" t="s">
        <v>1321</v>
      </c>
      <c r="G1689" t="s">
        <v>54</v>
      </c>
    </row>
    <row r="1690" spans="1:7" x14ac:dyDescent="0.35">
      <c r="A1690" t="s">
        <v>3156</v>
      </c>
      <c r="B1690" s="4" t="s">
        <v>1149</v>
      </c>
      <c r="C1690">
        <v>4</v>
      </c>
      <c r="D1690" s="7">
        <v>11</v>
      </c>
      <c r="E1690">
        <v>1</v>
      </c>
      <c r="F1690" t="s">
        <v>1324</v>
      </c>
      <c r="G1690" t="s">
        <v>46</v>
      </c>
    </row>
    <row r="1691" spans="1:7" x14ac:dyDescent="0.35">
      <c r="A1691" t="s">
        <v>3157</v>
      </c>
      <c r="B1691" s="4" t="s">
        <v>1149</v>
      </c>
      <c r="C1691">
        <v>5</v>
      </c>
      <c r="D1691" s="7">
        <v>14</v>
      </c>
      <c r="E1691">
        <v>1</v>
      </c>
      <c r="F1691" t="s">
        <v>1324</v>
      </c>
      <c r="G1691" t="s">
        <v>46</v>
      </c>
    </row>
    <row r="1692" spans="1:7" x14ac:dyDescent="0.35">
      <c r="A1692" t="s">
        <v>3158</v>
      </c>
      <c r="B1692" s="4" t="s">
        <v>1149</v>
      </c>
      <c r="C1692">
        <v>6</v>
      </c>
      <c r="D1692" s="7">
        <v>9</v>
      </c>
      <c r="E1692">
        <v>1</v>
      </c>
      <c r="F1692" t="s">
        <v>1324</v>
      </c>
      <c r="G1692" t="s">
        <v>46</v>
      </c>
    </row>
    <row r="1693" spans="1:7" x14ac:dyDescent="0.35">
      <c r="A1693" t="s">
        <v>3159</v>
      </c>
      <c r="B1693" s="4" t="s">
        <v>1149</v>
      </c>
      <c r="C1693">
        <v>9</v>
      </c>
      <c r="D1693" s="7">
        <v>9</v>
      </c>
      <c r="E1693">
        <v>1</v>
      </c>
      <c r="F1693" t="s">
        <v>1324</v>
      </c>
      <c r="G1693" t="s">
        <v>46</v>
      </c>
    </row>
    <row r="1694" spans="1:7" x14ac:dyDescent="0.35">
      <c r="A1694" t="s">
        <v>3160</v>
      </c>
      <c r="B1694" s="4" t="s">
        <v>1157</v>
      </c>
      <c r="C1694">
        <v>1</v>
      </c>
      <c r="D1694" s="7">
        <v>5</v>
      </c>
      <c r="E1694">
        <v>1</v>
      </c>
      <c r="F1694" t="s">
        <v>1321</v>
      </c>
      <c r="G1694" t="s">
        <v>46</v>
      </c>
    </row>
    <row r="1695" spans="1:7" x14ac:dyDescent="0.35">
      <c r="A1695" t="s">
        <v>3161</v>
      </c>
      <c r="B1695" s="4" t="s">
        <v>1157</v>
      </c>
      <c r="C1695">
        <v>1</v>
      </c>
      <c r="D1695" s="7">
        <v>3</v>
      </c>
      <c r="E1695">
        <v>2</v>
      </c>
      <c r="F1695" t="s">
        <v>1321</v>
      </c>
      <c r="G1695" t="s">
        <v>54</v>
      </c>
    </row>
    <row r="1696" spans="1:7" x14ac:dyDescent="0.35">
      <c r="A1696" t="s">
        <v>3162</v>
      </c>
      <c r="B1696" s="4" t="s">
        <v>1157</v>
      </c>
      <c r="C1696">
        <v>4</v>
      </c>
      <c r="D1696" s="7">
        <v>15</v>
      </c>
      <c r="E1696">
        <v>1</v>
      </c>
      <c r="F1696" t="s">
        <v>1324</v>
      </c>
      <c r="G1696" t="s">
        <v>46</v>
      </c>
    </row>
    <row r="1697" spans="1:7" x14ac:dyDescent="0.35">
      <c r="A1697" t="s">
        <v>3163</v>
      </c>
      <c r="B1697" s="4" t="s">
        <v>1157</v>
      </c>
      <c r="C1697">
        <v>5</v>
      </c>
      <c r="D1697" s="7">
        <v>8</v>
      </c>
      <c r="E1697">
        <v>1</v>
      </c>
      <c r="F1697" t="s">
        <v>1324</v>
      </c>
      <c r="G1697" t="s">
        <v>46</v>
      </c>
    </row>
    <row r="1698" spans="1:7" x14ac:dyDescent="0.35">
      <c r="A1698" t="s">
        <v>3164</v>
      </c>
      <c r="B1698" s="4" t="s">
        <v>1157</v>
      </c>
      <c r="C1698">
        <v>6</v>
      </c>
      <c r="D1698" s="7">
        <v>8</v>
      </c>
      <c r="E1698">
        <v>1</v>
      </c>
      <c r="F1698" t="s">
        <v>1324</v>
      </c>
      <c r="G1698" t="s">
        <v>46</v>
      </c>
    </row>
    <row r="1699" spans="1:7" x14ac:dyDescent="0.35">
      <c r="A1699" t="s">
        <v>3165</v>
      </c>
      <c r="B1699" s="4" t="s">
        <v>1157</v>
      </c>
      <c r="C1699">
        <v>9</v>
      </c>
      <c r="D1699" s="7">
        <v>13</v>
      </c>
      <c r="E1699">
        <v>1</v>
      </c>
      <c r="F1699" t="s">
        <v>1324</v>
      </c>
      <c r="G1699" t="s">
        <v>46</v>
      </c>
    </row>
    <row r="1700" spans="1:7" x14ac:dyDescent="0.35">
      <c r="A1700" t="s">
        <v>3166</v>
      </c>
      <c r="B1700" s="4" t="s">
        <v>1167</v>
      </c>
      <c r="C1700">
        <v>4</v>
      </c>
      <c r="D1700" s="7">
        <v>10</v>
      </c>
      <c r="E1700">
        <v>1</v>
      </c>
      <c r="F1700" t="s">
        <v>1324</v>
      </c>
      <c r="G1700" t="s">
        <v>46</v>
      </c>
    </row>
    <row r="1701" spans="1:7" x14ac:dyDescent="0.35">
      <c r="A1701" t="s">
        <v>3167</v>
      </c>
      <c r="B1701" s="4" t="s">
        <v>1167</v>
      </c>
      <c r="C1701">
        <v>5</v>
      </c>
      <c r="D1701" s="7">
        <v>15</v>
      </c>
      <c r="E1701">
        <v>1</v>
      </c>
      <c r="F1701" t="s">
        <v>1324</v>
      </c>
      <c r="G1701" t="s">
        <v>46</v>
      </c>
    </row>
    <row r="1702" spans="1:7" x14ac:dyDescent="0.35">
      <c r="A1702" t="s">
        <v>3168</v>
      </c>
      <c r="B1702" s="4" t="s">
        <v>1167</v>
      </c>
      <c r="C1702">
        <v>6</v>
      </c>
      <c r="D1702" s="7">
        <v>9</v>
      </c>
      <c r="E1702">
        <v>1</v>
      </c>
      <c r="F1702" t="s">
        <v>1324</v>
      </c>
      <c r="G1702" t="s">
        <v>46</v>
      </c>
    </row>
    <row r="1703" spans="1:7" x14ac:dyDescent="0.35">
      <c r="A1703" t="s">
        <v>3169</v>
      </c>
      <c r="B1703" s="4" t="s">
        <v>1167</v>
      </c>
      <c r="C1703">
        <v>9</v>
      </c>
      <c r="D1703" s="7">
        <v>11</v>
      </c>
      <c r="E1703">
        <v>1</v>
      </c>
      <c r="F1703" t="s">
        <v>1324</v>
      </c>
      <c r="G1703" t="s">
        <v>46</v>
      </c>
    </row>
    <row r="1704" spans="1:7" x14ac:dyDescent="0.35">
      <c r="A1704" t="s">
        <v>3170</v>
      </c>
      <c r="B1704" s="4" t="s">
        <v>1171</v>
      </c>
      <c r="C1704">
        <v>1</v>
      </c>
      <c r="D1704" s="7">
        <v>2</v>
      </c>
      <c r="E1704">
        <v>1</v>
      </c>
      <c r="F1704" t="s">
        <v>1321</v>
      </c>
      <c r="G1704" t="s">
        <v>46</v>
      </c>
    </row>
    <row r="1705" spans="1:7" x14ac:dyDescent="0.35">
      <c r="A1705" t="s">
        <v>3171</v>
      </c>
      <c r="B1705" s="4" t="s">
        <v>1171</v>
      </c>
      <c r="C1705">
        <v>1</v>
      </c>
      <c r="D1705" s="7">
        <v>2</v>
      </c>
      <c r="E1705">
        <v>2</v>
      </c>
      <c r="F1705" t="s">
        <v>1321</v>
      </c>
      <c r="G1705" t="s">
        <v>54</v>
      </c>
    </row>
    <row r="1706" spans="1:7" x14ac:dyDescent="0.35">
      <c r="A1706" t="s">
        <v>3172</v>
      </c>
      <c r="B1706" s="4" t="s">
        <v>1171</v>
      </c>
      <c r="C1706">
        <v>4</v>
      </c>
      <c r="D1706" s="7">
        <v>10</v>
      </c>
      <c r="E1706">
        <v>1</v>
      </c>
      <c r="F1706" t="s">
        <v>1324</v>
      </c>
      <c r="G1706" t="s">
        <v>46</v>
      </c>
    </row>
    <row r="1707" spans="1:7" x14ac:dyDescent="0.35">
      <c r="A1707" t="s">
        <v>3173</v>
      </c>
      <c r="B1707" s="4" t="s">
        <v>1171</v>
      </c>
      <c r="C1707">
        <v>5</v>
      </c>
      <c r="D1707" s="7">
        <v>14</v>
      </c>
      <c r="E1707">
        <v>1</v>
      </c>
      <c r="F1707" t="s">
        <v>1324</v>
      </c>
      <c r="G1707" t="s">
        <v>46</v>
      </c>
    </row>
    <row r="1708" spans="1:7" x14ac:dyDescent="0.35">
      <c r="A1708" t="s">
        <v>3174</v>
      </c>
      <c r="B1708" s="4" t="s">
        <v>1171</v>
      </c>
      <c r="C1708">
        <v>6</v>
      </c>
      <c r="D1708" s="7">
        <v>10</v>
      </c>
      <c r="E1708">
        <v>1</v>
      </c>
      <c r="F1708" t="s">
        <v>1324</v>
      </c>
      <c r="G1708" t="s">
        <v>46</v>
      </c>
    </row>
    <row r="1709" spans="1:7" x14ac:dyDescent="0.35">
      <c r="A1709" t="s">
        <v>3175</v>
      </c>
      <c r="B1709" s="4" t="s">
        <v>1171</v>
      </c>
      <c r="C1709">
        <v>9</v>
      </c>
      <c r="D1709" s="7">
        <v>10</v>
      </c>
      <c r="E1709">
        <v>1</v>
      </c>
      <c r="F1709" t="s">
        <v>1324</v>
      </c>
      <c r="G1709" t="s">
        <v>46</v>
      </c>
    </row>
    <row r="1710" spans="1:7" x14ac:dyDescent="0.35">
      <c r="A1710" t="s">
        <v>3176</v>
      </c>
      <c r="B1710" s="4" t="s">
        <v>1177</v>
      </c>
      <c r="C1710">
        <v>4</v>
      </c>
      <c r="D1710" s="7">
        <v>6</v>
      </c>
      <c r="E1710">
        <v>1</v>
      </c>
      <c r="F1710" t="s">
        <v>1324</v>
      </c>
      <c r="G1710" t="s">
        <v>46</v>
      </c>
    </row>
    <row r="1711" spans="1:7" x14ac:dyDescent="0.35">
      <c r="A1711" t="s">
        <v>3177</v>
      </c>
      <c r="B1711" s="4" t="s">
        <v>1177</v>
      </c>
      <c r="C1711">
        <v>5</v>
      </c>
      <c r="D1711" s="7">
        <v>5</v>
      </c>
      <c r="E1711">
        <v>1</v>
      </c>
      <c r="F1711" t="s">
        <v>1324</v>
      </c>
      <c r="G1711" t="s">
        <v>46</v>
      </c>
    </row>
    <row r="1712" spans="1:7" x14ac:dyDescent="0.35">
      <c r="A1712" t="s">
        <v>3178</v>
      </c>
      <c r="B1712" s="4" t="s">
        <v>1177</v>
      </c>
      <c r="C1712">
        <v>6</v>
      </c>
      <c r="D1712" s="7">
        <v>5</v>
      </c>
      <c r="E1712">
        <v>1</v>
      </c>
      <c r="F1712" t="s">
        <v>1324</v>
      </c>
      <c r="G1712" t="s">
        <v>46</v>
      </c>
    </row>
    <row r="1713" spans="1:7" x14ac:dyDescent="0.35">
      <c r="A1713" t="s">
        <v>3179</v>
      </c>
      <c r="B1713" s="4" t="s">
        <v>1177</v>
      </c>
      <c r="C1713">
        <v>9</v>
      </c>
      <c r="D1713" s="7">
        <v>7</v>
      </c>
      <c r="E1713">
        <v>1</v>
      </c>
      <c r="F1713" t="s">
        <v>1324</v>
      </c>
      <c r="G1713" t="s">
        <v>46</v>
      </c>
    </row>
    <row r="1714" spans="1:7" x14ac:dyDescent="0.35">
      <c r="A1714" t="s">
        <v>3180</v>
      </c>
      <c r="B1714" s="4" t="s">
        <v>1182</v>
      </c>
      <c r="C1714">
        <v>4</v>
      </c>
      <c r="D1714" s="7">
        <v>4</v>
      </c>
      <c r="E1714">
        <v>1</v>
      </c>
      <c r="F1714" t="s">
        <v>1324</v>
      </c>
      <c r="G1714" t="s">
        <v>46</v>
      </c>
    </row>
    <row r="1715" spans="1:7" x14ac:dyDescent="0.35">
      <c r="A1715" t="s">
        <v>3181</v>
      </c>
      <c r="B1715" s="4" t="s">
        <v>1182</v>
      </c>
      <c r="C1715">
        <v>5</v>
      </c>
      <c r="D1715" s="7">
        <v>5</v>
      </c>
      <c r="E1715">
        <v>1</v>
      </c>
      <c r="F1715" t="s">
        <v>1324</v>
      </c>
      <c r="G1715" t="s">
        <v>46</v>
      </c>
    </row>
    <row r="1716" spans="1:7" x14ac:dyDescent="0.35">
      <c r="A1716" t="s">
        <v>3182</v>
      </c>
      <c r="B1716" s="4" t="s">
        <v>1182</v>
      </c>
      <c r="C1716">
        <v>6</v>
      </c>
      <c r="D1716" s="7">
        <v>4</v>
      </c>
      <c r="E1716">
        <v>1</v>
      </c>
      <c r="F1716" t="s">
        <v>1324</v>
      </c>
      <c r="G1716" t="s">
        <v>46</v>
      </c>
    </row>
    <row r="1717" spans="1:7" x14ac:dyDescent="0.35">
      <c r="A1717" t="s">
        <v>3183</v>
      </c>
      <c r="B1717" s="4" t="s">
        <v>1182</v>
      </c>
      <c r="C1717">
        <v>9</v>
      </c>
      <c r="D1717" s="7">
        <v>7</v>
      </c>
      <c r="E1717">
        <v>1</v>
      </c>
      <c r="F1717" t="s">
        <v>1324</v>
      </c>
      <c r="G1717" t="s">
        <v>46</v>
      </c>
    </row>
    <row r="1718" spans="1:7" x14ac:dyDescent="0.35">
      <c r="A1718" t="s">
        <v>3184</v>
      </c>
      <c r="B1718" s="4" t="s">
        <v>3185</v>
      </c>
      <c r="C1718">
        <v>1</v>
      </c>
      <c r="D1718" s="7">
        <v>5</v>
      </c>
      <c r="E1718">
        <v>1</v>
      </c>
      <c r="F1718" t="s">
        <v>1321</v>
      </c>
      <c r="G1718" t="s">
        <v>46</v>
      </c>
    </row>
    <row r="1719" spans="1:7" x14ac:dyDescent="0.35">
      <c r="A1719" t="s">
        <v>3186</v>
      </c>
      <c r="B1719" s="4" t="s">
        <v>3185</v>
      </c>
      <c r="C1719">
        <v>4</v>
      </c>
      <c r="D1719" s="7">
        <v>12</v>
      </c>
      <c r="E1719">
        <v>1</v>
      </c>
      <c r="F1719" t="s">
        <v>1324</v>
      </c>
      <c r="G1719" t="s">
        <v>46</v>
      </c>
    </row>
    <row r="1720" spans="1:7" x14ac:dyDescent="0.35">
      <c r="A1720" t="s">
        <v>3187</v>
      </c>
      <c r="B1720" s="4" t="s">
        <v>3185</v>
      </c>
      <c r="C1720">
        <v>5</v>
      </c>
      <c r="D1720" s="7">
        <v>9</v>
      </c>
      <c r="E1720">
        <v>1</v>
      </c>
      <c r="F1720" t="s">
        <v>1324</v>
      </c>
      <c r="G1720" t="s">
        <v>46</v>
      </c>
    </row>
    <row r="1721" spans="1:7" x14ac:dyDescent="0.35">
      <c r="A1721" t="s">
        <v>3188</v>
      </c>
      <c r="B1721" s="4" t="s">
        <v>3185</v>
      </c>
      <c r="C1721">
        <v>6</v>
      </c>
      <c r="D1721" s="7">
        <v>11</v>
      </c>
      <c r="E1721">
        <v>1</v>
      </c>
      <c r="F1721" t="s">
        <v>1324</v>
      </c>
      <c r="G1721" t="s">
        <v>46</v>
      </c>
    </row>
    <row r="1722" spans="1:7" x14ac:dyDescent="0.35">
      <c r="A1722" t="s">
        <v>3189</v>
      </c>
      <c r="B1722" s="4" t="s">
        <v>3185</v>
      </c>
      <c r="C1722">
        <v>9</v>
      </c>
      <c r="D1722" s="7">
        <v>12</v>
      </c>
      <c r="E1722">
        <v>1</v>
      </c>
      <c r="F1722" t="s">
        <v>1324</v>
      </c>
      <c r="G1722" t="s">
        <v>46</v>
      </c>
    </row>
    <row r="1723" spans="1:7" x14ac:dyDescent="0.35">
      <c r="A1723" t="s">
        <v>3190</v>
      </c>
      <c r="B1723" s="4" t="s">
        <v>3191</v>
      </c>
      <c r="C1723">
        <v>4</v>
      </c>
      <c r="D1723" s="7">
        <v>12</v>
      </c>
      <c r="E1723">
        <v>1</v>
      </c>
      <c r="F1723" t="s">
        <v>1324</v>
      </c>
      <c r="G1723" t="s">
        <v>46</v>
      </c>
    </row>
    <row r="1724" spans="1:7" x14ac:dyDescent="0.35">
      <c r="A1724" t="s">
        <v>3192</v>
      </c>
      <c r="B1724" s="4" t="s">
        <v>3191</v>
      </c>
      <c r="C1724">
        <v>5</v>
      </c>
      <c r="D1724" s="7">
        <v>11</v>
      </c>
      <c r="E1724">
        <v>1</v>
      </c>
      <c r="F1724" t="s">
        <v>1324</v>
      </c>
      <c r="G1724" t="s">
        <v>46</v>
      </c>
    </row>
    <row r="1725" spans="1:7" x14ac:dyDescent="0.35">
      <c r="A1725" t="s">
        <v>3193</v>
      </c>
      <c r="B1725" s="4" t="s">
        <v>3191</v>
      </c>
      <c r="C1725">
        <v>6</v>
      </c>
      <c r="D1725" s="7">
        <v>11</v>
      </c>
      <c r="E1725">
        <v>1</v>
      </c>
      <c r="F1725" t="s">
        <v>1324</v>
      </c>
      <c r="G1725" t="s">
        <v>46</v>
      </c>
    </row>
    <row r="1726" spans="1:7" x14ac:dyDescent="0.35">
      <c r="A1726" t="s">
        <v>3194</v>
      </c>
      <c r="B1726" s="4" t="s">
        <v>3191</v>
      </c>
      <c r="C1726">
        <v>9</v>
      </c>
      <c r="D1726" s="7">
        <v>14</v>
      </c>
      <c r="E1726">
        <v>1</v>
      </c>
      <c r="F1726" t="s">
        <v>1324</v>
      </c>
      <c r="G1726" t="s">
        <v>46</v>
      </c>
    </row>
    <row r="1727" spans="1:7" x14ac:dyDescent="0.35">
      <c r="A1727" t="s">
        <v>3195</v>
      </c>
      <c r="B1727" s="4" t="s">
        <v>1187</v>
      </c>
      <c r="C1727">
        <v>1</v>
      </c>
      <c r="D1727" s="7">
        <v>2</v>
      </c>
      <c r="E1727">
        <v>1</v>
      </c>
      <c r="F1727" t="s">
        <v>1321</v>
      </c>
      <c r="G1727" t="s">
        <v>46</v>
      </c>
    </row>
    <row r="1728" spans="1:7" x14ac:dyDescent="0.35">
      <c r="A1728" t="s">
        <v>3196</v>
      </c>
      <c r="B1728" s="4" t="s">
        <v>1187</v>
      </c>
      <c r="C1728">
        <v>4</v>
      </c>
      <c r="D1728" s="7">
        <v>11</v>
      </c>
      <c r="E1728">
        <v>1</v>
      </c>
      <c r="F1728" t="s">
        <v>1324</v>
      </c>
      <c r="G1728" t="s">
        <v>46</v>
      </c>
    </row>
    <row r="1729" spans="1:7" x14ac:dyDescent="0.35">
      <c r="A1729" t="s">
        <v>3197</v>
      </c>
      <c r="B1729" s="4" t="s">
        <v>1187</v>
      </c>
      <c r="C1729">
        <v>5</v>
      </c>
      <c r="D1729" s="7">
        <v>15</v>
      </c>
      <c r="E1729">
        <v>1</v>
      </c>
      <c r="F1729" t="s">
        <v>1324</v>
      </c>
      <c r="G1729" t="s">
        <v>46</v>
      </c>
    </row>
    <row r="1730" spans="1:7" x14ac:dyDescent="0.35">
      <c r="A1730" t="s">
        <v>3198</v>
      </c>
      <c r="B1730" s="4" t="s">
        <v>1187</v>
      </c>
      <c r="C1730">
        <v>6</v>
      </c>
      <c r="D1730" s="7">
        <v>14</v>
      </c>
      <c r="E1730">
        <v>1</v>
      </c>
      <c r="F1730" t="s">
        <v>1324</v>
      </c>
      <c r="G1730" t="s">
        <v>46</v>
      </c>
    </row>
    <row r="1731" spans="1:7" x14ac:dyDescent="0.35">
      <c r="A1731" t="s">
        <v>3199</v>
      </c>
      <c r="B1731" s="4" t="s">
        <v>1187</v>
      </c>
      <c r="C1731">
        <v>9</v>
      </c>
      <c r="D1731" s="7">
        <v>9</v>
      </c>
      <c r="E1731">
        <v>1</v>
      </c>
      <c r="F1731" t="s">
        <v>1324</v>
      </c>
      <c r="G1731" t="s">
        <v>46</v>
      </c>
    </row>
    <row r="1732" spans="1:7" x14ac:dyDescent="0.35">
      <c r="A1732" t="s">
        <v>3200</v>
      </c>
      <c r="B1732" s="4" t="s">
        <v>1196</v>
      </c>
      <c r="C1732">
        <v>1</v>
      </c>
      <c r="D1732" s="7">
        <v>2</v>
      </c>
      <c r="E1732">
        <v>1</v>
      </c>
      <c r="F1732" t="s">
        <v>1321</v>
      </c>
      <c r="G1732" t="s">
        <v>46</v>
      </c>
    </row>
    <row r="1733" spans="1:7" x14ac:dyDescent="0.35">
      <c r="A1733" t="s">
        <v>3201</v>
      </c>
      <c r="B1733" s="4" t="s">
        <v>1196</v>
      </c>
      <c r="C1733">
        <v>4</v>
      </c>
      <c r="D1733" s="7">
        <v>13</v>
      </c>
      <c r="E1733">
        <v>1</v>
      </c>
      <c r="F1733" t="s">
        <v>1324</v>
      </c>
      <c r="G1733" t="s">
        <v>46</v>
      </c>
    </row>
    <row r="1734" spans="1:7" x14ac:dyDescent="0.35">
      <c r="A1734" t="s">
        <v>3202</v>
      </c>
      <c r="B1734" s="4" t="s">
        <v>1196</v>
      </c>
      <c r="C1734">
        <v>5</v>
      </c>
      <c r="D1734" s="7">
        <v>13</v>
      </c>
      <c r="E1734">
        <v>1</v>
      </c>
      <c r="F1734" t="s">
        <v>1324</v>
      </c>
      <c r="G1734" t="s">
        <v>46</v>
      </c>
    </row>
    <row r="1735" spans="1:7" x14ac:dyDescent="0.35">
      <c r="A1735" t="s">
        <v>3203</v>
      </c>
      <c r="B1735" s="4" t="s">
        <v>1196</v>
      </c>
      <c r="C1735">
        <v>6</v>
      </c>
      <c r="D1735" s="7">
        <v>10</v>
      </c>
      <c r="E1735">
        <v>1</v>
      </c>
      <c r="F1735" t="s">
        <v>1324</v>
      </c>
      <c r="G1735" t="s">
        <v>46</v>
      </c>
    </row>
    <row r="1736" spans="1:7" x14ac:dyDescent="0.35">
      <c r="A1736" t="s">
        <v>3204</v>
      </c>
      <c r="B1736" s="4" t="s">
        <v>1196</v>
      </c>
      <c r="C1736">
        <v>9</v>
      </c>
      <c r="D1736" s="7">
        <v>14</v>
      </c>
      <c r="E1736">
        <v>1</v>
      </c>
      <c r="F1736" t="s">
        <v>1324</v>
      </c>
      <c r="G1736" t="s">
        <v>46</v>
      </c>
    </row>
    <row r="1737" spans="1:7" x14ac:dyDescent="0.35">
      <c r="A1737" t="s">
        <v>3205</v>
      </c>
      <c r="B1737" s="4" t="s">
        <v>1208</v>
      </c>
      <c r="C1737">
        <v>4</v>
      </c>
      <c r="D1737" s="7">
        <v>10</v>
      </c>
      <c r="E1737">
        <v>1</v>
      </c>
      <c r="F1737" t="s">
        <v>1324</v>
      </c>
      <c r="G1737" t="s">
        <v>46</v>
      </c>
    </row>
    <row r="1738" spans="1:7" x14ac:dyDescent="0.35">
      <c r="A1738" t="s">
        <v>3206</v>
      </c>
      <c r="B1738" s="4" t="s">
        <v>1208</v>
      </c>
      <c r="C1738">
        <v>5</v>
      </c>
      <c r="D1738" s="7">
        <v>15</v>
      </c>
      <c r="E1738">
        <v>1</v>
      </c>
      <c r="F1738" t="s">
        <v>1324</v>
      </c>
      <c r="G1738" t="s">
        <v>46</v>
      </c>
    </row>
    <row r="1739" spans="1:7" x14ac:dyDescent="0.35">
      <c r="A1739" t="s">
        <v>3207</v>
      </c>
      <c r="B1739" s="4" t="s">
        <v>1208</v>
      </c>
      <c r="C1739">
        <v>6</v>
      </c>
      <c r="D1739" s="7">
        <v>9</v>
      </c>
      <c r="E1739">
        <v>1</v>
      </c>
      <c r="F1739" t="s">
        <v>1324</v>
      </c>
      <c r="G1739" t="s">
        <v>46</v>
      </c>
    </row>
    <row r="1740" spans="1:7" x14ac:dyDescent="0.35">
      <c r="A1740" t="s">
        <v>3208</v>
      </c>
      <c r="B1740" s="4" t="s">
        <v>1208</v>
      </c>
      <c r="C1740">
        <v>9</v>
      </c>
      <c r="D1740" s="7">
        <v>8</v>
      </c>
      <c r="E1740">
        <v>1</v>
      </c>
      <c r="F1740" t="s">
        <v>1324</v>
      </c>
      <c r="G1740" t="s">
        <v>46</v>
      </c>
    </row>
    <row r="1741" spans="1:7" x14ac:dyDescent="0.35">
      <c r="A1741" t="s">
        <v>3209</v>
      </c>
      <c r="B1741" s="4" t="s">
        <v>1218</v>
      </c>
      <c r="C1741">
        <v>4</v>
      </c>
      <c r="D1741" s="7">
        <v>4</v>
      </c>
      <c r="E1741">
        <v>1</v>
      </c>
      <c r="F1741" t="s">
        <v>1324</v>
      </c>
      <c r="G1741" t="s">
        <v>46</v>
      </c>
    </row>
    <row r="1742" spans="1:7" x14ac:dyDescent="0.35">
      <c r="A1742" t="s">
        <v>3210</v>
      </c>
      <c r="B1742" s="4" t="s">
        <v>1218</v>
      </c>
      <c r="C1742">
        <v>5</v>
      </c>
      <c r="D1742" s="7">
        <v>7</v>
      </c>
      <c r="E1742">
        <v>1</v>
      </c>
      <c r="F1742" t="s">
        <v>1324</v>
      </c>
      <c r="G1742" t="s">
        <v>46</v>
      </c>
    </row>
    <row r="1743" spans="1:7" x14ac:dyDescent="0.35">
      <c r="A1743" t="s">
        <v>3211</v>
      </c>
      <c r="B1743" s="4" t="s">
        <v>1218</v>
      </c>
      <c r="C1743">
        <v>6</v>
      </c>
      <c r="D1743" s="7">
        <v>6</v>
      </c>
      <c r="E1743">
        <v>1</v>
      </c>
      <c r="F1743" t="s">
        <v>1324</v>
      </c>
      <c r="G1743" t="s">
        <v>46</v>
      </c>
    </row>
    <row r="1744" spans="1:7" x14ac:dyDescent="0.35">
      <c r="A1744" t="s">
        <v>3212</v>
      </c>
      <c r="B1744" s="4" t="s">
        <v>1218</v>
      </c>
      <c r="C1744">
        <v>9</v>
      </c>
      <c r="D1744" s="7">
        <v>7</v>
      </c>
      <c r="E1744">
        <v>1</v>
      </c>
      <c r="F1744" t="s">
        <v>1324</v>
      </c>
      <c r="G1744" t="s">
        <v>46</v>
      </c>
    </row>
    <row r="1745" spans="1:7" x14ac:dyDescent="0.35">
      <c r="A1745" t="s">
        <v>3213</v>
      </c>
      <c r="B1745" s="4" t="s">
        <v>1224</v>
      </c>
      <c r="C1745">
        <v>4</v>
      </c>
      <c r="D1745" s="7">
        <v>5</v>
      </c>
      <c r="E1745">
        <v>1</v>
      </c>
      <c r="F1745" t="s">
        <v>1324</v>
      </c>
      <c r="G1745" t="s">
        <v>46</v>
      </c>
    </row>
    <row r="1746" spans="1:7" x14ac:dyDescent="0.35">
      <c r="A1746" t="s">
        <v>3214</v>
      </c>
      <c r="B1746" s="4" t="s">
        <v>1224</v>
      </c>
      <c r="C1746">
        <v>5</v>
      </c>
      <c r="D1746" s="7">
        <v>6</v>
      </c>
      <c r="E1746">
        <v>1</v>
      </c>
      <c r="F1746" t="s">
        <v>1324</v>
      </c>
      <c r="G1746" t="s">
        <v>46</v>
      </c>
    </row>
    <row r="1747" spans="1:7" x14ac:dyDescent="0.35">
      <c r="A1747" t="s">
        <v>3215</v>
      </c>
      <c r="B1747" s="4" t="s">
        <v>1224</v>
      </c>
      <c r="C1747">
        <v>6</v>
      </c>
      <c r="D1747" s="7">
        <v>4</v>
      </c>
      <c r="E1747">
        <v>1</v>
      </c>
      <c r="F1747" t="s">
        <v>1324</v>
      </c>
      <c r="G1747" t="s">
        <v>46</v>
      </c>
    </row>
    <row r="1748" spans="1:7" x14ac:dyDescent="0.35">
      <c r="A1748" t="s">
        <v>3216</v>
      </c>
      <c r="B1748" s="4" t="s">
        <v>1224</v>
      </c>
      <c r="C1748">
        <v>9</v>
      </c>
      <c r="D1748" s="7">
        <v>6</v>
      </c>
      <c r="E1748">
        <v>1</v>
      </c>
      <c r="F1748" t="s">
        <v>1324</v>
      </c>
      <c r="G1748" t="s">
        <v>46</v>
      </c>
    </row>
    <row r="1749" spans="1:7" x14ac:dyDescent="0.35">
      <c r="A1749" t="s">
        <v>3217</v>
      </c>
      <c r="B1749" s="4" t="s">
        <v>1229</v>
      </c>
      <c r="C1749">
        <v>1</v>
      </c>
      <c r="D1749" s="7">
        <v>3</v>
      </c>
      <c r="E1749">
        <v>1</v>
      </c>
      <c r="F1749" t="s">
        <v>1321</v>
      </c>
      <c r="G1749" t="s">
        <v>46</v>
      </c>
    </row>
    <row r="1750" spans="1:7" x14ac:dyDescent="0.35">
      <c r="A1750" t="s">
        <v>3218</v>
      </c>
      <c r="B1750" s="4" t="s">
        <v>1229</v>
      </c>
      <c r="C1750">
        <v>4</v>
      </c>
      <c r="D1750" s="7">
        <v>13</v>
      </c>
      <c r="E1750">
        <v>1</v>
      </c>
      <c r="F1750" t="s">
        <v>1324</v>
      </c>
      <c r="G1750" t="s">
        <v>46</v>
      </c>
    </row>
    <row r="1751" spans="1:7" x14ac:dyDescent="0.35">
      <c r="A1751" t="s">
        <v>3219</v>
      </c>
      <c r="B1751" s="4" t="s">
        <v>1229</v>
      </c>
      <c r="C1751">
        <v>5</v>
      </c>
      <c r="D1751" s="7">
        <v>14</v>
      </c>
      <c r="E1751">
        <v>1</v>
      </c>
      <c r="F1751" t="s">
        <v>1324</v>
      </c>
      <c r="G1751" t="s">
        <v>46</v>
      </c>
    </row>
    <row r="1752" spans="1:7" x14ac:dyDescent="0.35">
      <c r="A1752" t="s">
        <v>3220</v>
      </c>
      <c r="B1752" s="4" t="s">
        <v>1229</v>
      </c>
      <c r="C1752">
        <v>6</v>
      </c>
      <c r="D1752" s="7">
        <v>9</v>
      </c>
      <c r="E1752">
        <v>1</v>
      </c>
      <c r="F1752" t="s">
        <v>1324</v>
      </c>
      <c r="G1752" t="s">
        <v>46</v>
      </c>
    </row>
    <row r="1753" spans="1:7" x14ac:dyDescent="0.35">
      <c r="A1753" t="s">
        <v>3221</v>
      </c>
      <c r="B1753" s="4" t="s">
        <v>1229</v>
      </c>
      <c r="C1753">
        <v>9</v>
      </c>
      <c r="D1753" s="7">
        <v>12</v>
      </c>
      <c r="E1753">
        <v>1</v>
      </c>
      <c r="F1753" t="s">
        <v>1324</v>
      </c>
      <c r="G1753" t="s">
        <v>46</v>
      </c>
    </row>
    <row r="1754" spans="1:7" x14ac:dyDescent="0.35">
      <c r="A1754" t="s">
        <v>3222</v>
      </c>
      <c r="B1754" s="4" t="s">
        <v>1235</v>
      </c>
      <c r="C1754">
        <v>4</v>
      </c>
      <c r="D1754" s="7">
        <v>8</v>
      </c>
      <c r="E1754">
        <v>1</v>
      </c>
      <c r="F1754" t="s">
        <v>1324</v>
      </c>
      <c r="G1754" t="s">
        <v>46</v>
      </c>
    </row>
    <row r="1755" spans="1:7" x14ac:dyDescent="0.35">
      <c r="A1755" t="s">
        <v>3223</v>
      </c>
      <c r="B1755" s="4" t="s">
        <v>1235</v>
      </c>
      <c r="C1755">
        <v>5</v>
      </c>
      <c r="D1755" s="7">
        <v>11</v>
      </c>
      <c r="E1755">
        <v>1</v>
      </c>
      <c r="F1755" t="s">
        <v>1324</v>
      </c>
      <c r="G1755" t="s">
        <v>46</v>
      </c>
    </row>
    <row r="1756" spans="1:7" x14ac:dyDescent="0.35">
      <c r="A1756" t="s">
        <v>3224</v>
      </c>
      <c r="B1756" s="4" t="s">
        <v>1235</v>
      </c>
      <c r="C1756">
        <v>6</v>
      </c>
      <c r="D1756" s="7">
        <v>9</v>
      </c>
      <c r="E1756">
        <v>1</v>
      </c>
      <c r="F1756" t="s">
        <v>1324</v>
      </c>
      <c r="G1756" t="s">
        <v>46</v>
      </c>
    </row>
    <row r="1757" spans="1:7" x14ac:dyDescent="0.35">
      <c r="A1757" t="s">
        <v>3225</v>
      </c>
      <c r="B1757" s="4" t="s">
        <v>1235</v>
      </c>
      <c r="C1757">
        <v>9</v>
      </c>
      <c r="D1757" s="7">
        <v>14</v>
      </c>
      <c r="E1757">
        <v>1</v>
      </c>
      <c r="F1757" t="s">
        <v>1324</v>
      </c>
      <c r="G1757" t="s">
        <v>46</v>
      </c>
    </row>
    <row r="1758" spans="1:7" x14ac:dyDescent="0.35">
      <c r="A1758" t="s">
        <v>3226</v>
      </c>
      <c r="B1758" s="4" t="s">
        <v>1237</v>
      </c>
      <c r="C1758">
        <v>1</v>
      </c>
      <c r="D1758" s="7">
        <v>2</v>
      </c>
      <c r="E1758">
        <v>1</v>
      </c>
      <c r="F1758" t="s">
        <v>1321</v>
      </c>
      <c r="G1758" t="s">
        <v>46</v>
      </c>
    </row>
    <row r="1759" spans="1:7" x14ac:dyDescent="0.35">
      <c r="A1759" t="s">
        <v>3227</v>
      </c>
      <c r="B1759" s="4" t="s">
        <v>1237</v>
      </c>
      <c r="C1759">
        <v>4</v>
      </c>
      <c r="D1759" s="7">
        <v>10</v>
      </c>
      <c r="E1759">
        <v>1</v>
      </c>
      <c r="F1759" t="s">
        <v>1324</v>
      </c>
      <c r="G1759" t="s">
        <v>46</v>
      </c>
    </row>
    <row r="1760" spans="1:7" x14ac:dyDescent="0.35">
      <c r="A1760" t="s">
        <v>3228</v>
      </c>
      <c r="B1760" s="4" t="s">
        <v>1237</v>
      </c>
      <c r="C1760">
        <v>5</v>
      </c>
      <c r="D1760" s="7">
        <v>9</v>
      </c>
      <c r="E1760">
        <v>1</v>
      </c>
      <c r="F1760" t="s">
        <v>1324</v>
      </c>
      <c r="G1760" t="s">
        <v>46</v>
      </c>
    </row>
    <row r="1761" spans="1:7" x14ac:dyDescent="0.35">
      <c r="A1761" t="s">
        <v>3229</v>
      </c>
      <c r="B1761" s="4" t="s">
        <v>1237</v>
      </c>
      <c r="C1761">
        <v>6</v>
      </c>
      <c r="D1761" s="7">
        <v>8</v>
      </c>
      <c r="E1761">
        <v>1</v>
      </c>
      <c r="F1761" t="s">
        <v>1324</v>
      </c>
      <c r="G1761" t="s">
        <v>46</v>
      </c>
    </row>
    <row r="1762" spans="1:7" x14ac:dyDescent="0.35">
      <c r="A1762" t="s">
        <v>3230</v>
      </c>
      <c r="B1762" s="4" t="s">
        <v>1237</v>
      </c>
      <c r="C1762">
        <v>9</v>
      </c>
      <c r="D1762" s="7">
        <v>10</v>
      </c>
      <c r="E1762">
        <v>1</v>
      </c>
      <c r="F1762" t="s">
        <v>1324</v>
      </c>
      <c r="G1762" t="s">
        <v>46</v>
      </c>
    </row>
    <row r="1763" spans="1:7" x14ac:dyDescent="0.35">
      <c r="A1763" t="s">
        <v>3231</v>
      </c>
      <c r="B1763" s="4" t="s">
        <v>3232</v>
      </c>
      <c r="C1763">
        <v>1</v>
      </c>
      <c r="D1763" s="7">
        <v>2</v>
      </c>
      <c r="E1763">
        <v>2</v>
      </c>
      <c r="F1763" t="s">
        <v>1321</v>
      </c>
      <c r="G1763" t="s">
        <v>54</v>
      </c>
    </row>
    <row r="1764" spans="1:7" x14ac:dyDescent="0.35">
      <c r="A1764" t="s">
        <v>3233</v>
      </c>
      <c r="B1764" s="4" t="s">
        <v>3232</v>
      </c>
      <c r="C1764">
        <v>4</v>
      </c>
      <c r="D1764" s="7">
        <v>12</v>
      </c>
      <c r="E1764">
        <v>1</v>
      </c>
      <c r="F1764" t="s">
        <v>1324</v>
      </c>
      <c r="G1764" t="s">
        <v>46</v>
      </c>
    </row>
    <row r="1765" spans="1:7" x14ac:dyDescent="0.35">
      <c r="A1765" t="s">
        <v>3234</v>
      </c>
      <c r="B1765" s="4" t="s">
        <v>3232</v>
      </c>
      <c r="C1765">
        <v>5</v>
      </c>
      <c r="D1765" s="7">
        <v>10</v>
      </c>
      <c r="E1765">
        <v>1</v>
      </c>
      <c r="F1765" t="s">
        <v>1324</v>
      </c>
      <c r="G1765" t="s">
        <v>46</v>
      </c>
    </row>
    <row r="1766" spans="1:7" x14ac:dyDescent="0.35">
      <c r="A1766" t="s">
        <v>3235</v>
      </c>
      <c r="B1766" s="4" t="s">
        <v>3232</v>
      </c>
      <c r="C1766">
        <v>6</v>
      </c>
      <c r="D1766" s="7">
        <v>13</v>
      </c>
      <c r="E1766">
        <v>1</v>
      </c>
      <c r="F1766" t="s">
        <v>1324</v>
      </c>
      <c r="G1766" t="s">
        <v>46</v>
      </c>
    </row>
    <row r="1767" spans="1:7" x14ac:dyDescent="0.35">
      <c r="A1767" t="s">
        <v>3236</v>
      </c>
      <c r="B1767" s="4" t="s">
        <v>3232</v>
      </c>
      <c r="C1767">
        <v>9</v>
      </c>
      <c r="D1767" s="7">
        <v>10</v>
      </c>
      <c r="E1767">
        <v>1</v>
      </c>
      <c r="F1767" t="s">
        <v>1324</v>
      </c>
      <c r="G1767" t="s">
        <v>46</v>
      </c>
    </row>
    <row r="1768" spans="1:7" x14ac:dyDescent="0.35">
      <c r="A1768" t="s">
        <v>3237</v>
      </c>
      <c r="B1768" s="4" t="s">
        <v>1239</v>
      </c>
      <c r="C1768">
        <v>4</v>
      </c>
      <c r="D1768" s="7">
        <v>9</v>
      </c>
      <c r="E1768">
        <v>1</v>
      </c>
      <c r="F1768" t="s">
        <v>1324</v>
      </c>
      <c r="G1768" t="s">
        <v>46</v>
      </c>
    </row>
    <row r="1769" spans="1:7" x14ac:dyDescent="0.35">
      <c r="A1769" t="s">
        <v>3238</v>
      </c>
      <c r="B1769" s="4" t="s">
        <v>1239</v>
      </c>
      <c r="C1769">
        <v>5</v>
      </c>
      <c r="D1769" s="7">
        <v>8</v>
      </c>
      <c r="E1769">
        <v>1</v>
      </c>
      <c r="F1769" t="s">
        <v>1324</v>
      </c>
      <c r="G1769" t="s">
        <v>46</v>
      </c>
    </row>
    <row r="1770" spans="1:7" x14ac:dyDescent="0.35">
      <c r="A1770" t="s">
        <v>3239</v>
      </c>
      <c r="B1770" s="4" t="s">
        <v>1239</v>
      </c>
      <c r="C1770">
        <v>6</v>
      </c>
      <c r="D1770" s="7">
        <v>13</v>
      </c>
      <c r="E1770">
        <v>1</v>
      </c>
      <c r="F1770" t="s">
        <v>1324</v>
      </c>
      <c r="G1770" t="s">
        <v>46</v>
      </c>
    </row>
    <row r="1771" spans="1:7" x14ac:dyDescent="0.35">
      <c r="A1771" t="s">
        <v>3240</v>
      </c>
      <c r="B1771" s="4" t="s">
        <v>1239</v>
      </c>
      <c r="C1771">
        <v>9</v>
      </c>
      <c r="D1771" s="7">
        <v>14</v>
      </c>
      <c r="E1771">
        <v>1</v>
      </c>
      <c r="F1771" t="s">
        <v>1324</v>
      </c>
      <c r="G1771" t="s">
        <v>46</v>
      </c>
    </row>
    <row r="1772" spans="1:7" x14ac:dyDescent="0.35">
      <c r="A1772" t="s">
        <v>3241</v>
      </c>
      <c r="B1772" s="4" t="s">
        <v>3242</v>
      </c>
      <c r="C1772">
        <v>4</v>
      </c>
      <c r="D1772" s="7">
        <v>7</v>
      </c>
      <c r="E1772">
        <v>1</v>
      </c>
      <c r="F1772" t="s">
        <v>1324</v>
      </c>
      <c r="G1772" t="s">
        <v>46</v>
      </c>
    </row>
    <row r="1773" spans="1:7" x14ac:dyDescent="0.35">
      <c r="A1773" t="s">
        <v>3243</v>
      </c>
      <c r="B1773" s="4" t="s">
        <v>3242</v>
      </c>
      <c r="C1773">
        <v>5</v>
      </c>
      <c r="D1773" s="7">
        <v>7</v>
      </c>
      <c r="E1773">
        <v>1</v>
      </c>
      <c r="F1773" t="s">
        <v>1324</v>
      </c>
      <c r="G1773" t="s">
        <v>46</v>
      </c>
    </row>
    <row r="1774" spans="1:7" x14ac:dyDescent="0.35">
      <c r="A1774" t="s">
        <v>3244</v>
      </c>
      <c r="B1774" s="4" t="s">
        <v>3242</v>
      </c>
      <c r="C1774">
        <v>6</v>
      </c>
      <c r="D1774" s="7">
        <v>6</v>
      </c>
      <c r="E1774">
        <v>1</v>
      </c>
      <c r="F1774" t="s">
        <v>1324</v>
      </c>
      <c r="G1774" t="s">
        <v>46</v>
      </c>
    </row>
    <row r="1775" spans="1:7" x14ac:dyDescent="0.35">
      <c r="A1775" t="s">
        <v>3245</v>
      </c>
      <c r="B1775" s="4" t="s">
        <v>3242</v>
      </c>
      <c r="C1775">
        <v>9</v>
      </c>
      <c r="D1775" s="7">
        <v>4</v>
      </c>
      <c r="E1775">
        <v>1</v>
      </c>
      <c r="F1775" t="s">
        <v>1324</v>
      </c>
      <c r="G1775" t="s">
        <v>46</v>
      </c>
    </row>
    <row r="1776" spans="1:7" x14ac:dyDescent="0.35">
      <c r="A1776" t="s">
        <v>3246</v>
      </c>
      <c r="B1776" s="4" t="s">
        <v>1245</v>
      </c>
      <c r="C1776">
        <v>4</v>
      </c>
      <c r="D1776" s="7">
        <v>6</v>
      </c>
      <c r="E1776">
        <v>1</v>
      </c>
      <c r="F1776" t="s">
        <v>1324</v>
      </c>
      <c r="G1776" t="s">
        <v>46</v>
      </c>
    </row>
    <row r="1777" spans="1:7" x14ac:dyDescent="0.35">
      <c r="A1777" t="s">
        <v>3247</v>
      </c>
      <c r="B1777" s="4" t="s">
        <v>1245</v>
      </c>
      <c r="C1777">
        <v>5</v>
      </c>
      <c r="D1777" s="7">
        <v>4</v>
      </c>
      <c r="E1777">
        <v>1</v>
      </c>
      <c r="F1777" t="s">
        <v>1324</v>
      </c>
      <c r="G1777" t="s">
        <v>46</v>
      </c>
    </row>
    <row r="1778" spans="1:7" x14ac:dyDescent="0.35">
      <c r="A1778" t="s">
        <v>3248</v>
      </c>
      <c r="B1778" s="4" t="s">
        <v>1245</v>
      </c>
      <c r="C1778">
        <v>6</v>
      </c>
      <c r="D1778" s="7">
        <v>4</v>
      </c>
      <c r="E1778">
        <v>1</v>
      </c>
      <c r="F1778" t="s">
        <v>1324</v>
      </c>
      <c r="G1778" t="s">
        <v>46</v>
      </c>
    </row>
    <row r="1779" spans="1:7" x14ac:dyDescent="0.35">
      <c r="A1779" t="s">
        <v>3249</v>
      </c>
      <c r="B1779" s="4" t="s">
        <v>1245</v>
      </c>
      <c r="C1779">
        <v>9</v>
      </c>
      <c r="D1779" s="7">
        <v>5</v>
      </c>
      <c r="E1779">
        <v>1</v>
      </c>
      <c r="F1779" t="s">
        <v>1324</v>
      </c>
      <c r="G1779" t="s">
        <v>46</v>
      </c>
    </row>
    <row r="1780" spans="1:7" x14ac:dyDescent="0.35">
      <c r="A1780" t="s">
        <v>3250</v>
      </c>
      <c r="B1780" s="4" t="s">
        <v>1248</v>
      </c>
      <c r="C1780">
        <v>1</v>
      </c>
      <c r="D1780" s="7">
        <v>1</v>
      </c>
      <c r="E1780">
        <v>2</v>
      </c>
      <c r="F1780" t="s">
        <v>1321</v>
      </c>
      <c r="G1780" t="s">
        <v>54</v>
      </c>
    </row>
    <row r="1781" spans="1:7" x14ac:dyDescent="0.35">
      <c r="A1781" t="s">
        <v>3251</v>
      </c>
      <c r="B1781" s="4" t="s">
        <v>1248</v>
      </c>
      <c r="C1781">
        <v>4</v>
      </c>
      <c r="D1781" s="7">
        <v>15</v>
      </c>
      <c r="E1781">
        <v>1</v>
      </c>
      <c r="F1781" t="s">
        <v>1324</v>
      </c>
      <c r="G1781" t="s">
        <v>46</v>
      </c>
    </row>
    <row r="1782" spans="1:7" x14ac:dyDescent="0.35">
      <c r="A1782" t="s">
        <v>3252</v>
      </c>
      <c r="B1782" s="4" t="s">
        <v>1248</v>
      </c>
      <c r="C1782">
        <v>5</v>
      </c>
      <c r="D1782" s="7">
        <v>13</v>
      </c>
      <c r="E1782">
        <v>1</v>
      </c>
      <c r="F1782" t="s">
        <v>1324</v>
      </c>
      <c r="G1782" t="s">
        <v>46</v>
      </c>
    </row>
    <row r="1783" spans="1:7" x14ac:dyDescent="0.35">
      <c r="A1783" t="s">
        <v>3253</v>
      </c>
      <c r="B1783" s="4" t="s">
        <v>1248</v>
      </c>
      <c r="C1783">
        <v>6</v>
      </c>
      <c r="D1783" s="7">
        <v>14</v>
      </c>
      <c r="E1783">
        <v>1</v>
      </c>
      <c r="F1783" t="s">
        <v>1324</v>
      </c>
      <c r="G1783" t="s">
        <v>46</v>
      </c>
    </row>
    <row r="1784" spans="1:7" x14ac:dyDescent="0.35">
      <c r="A1784" t="s">
        <v>3254</v>
      </c>
      <c r="B1784" s="4" t="s">
        <v>1248</v>
      </c>
      <c r="C1784">
        <v>9</v>
      </c>
      <c r="D1784" s="7">
        <v>10</v>
      </c>
      <c r="E1784">
        <v>1</v>
      </c>
      <c r="F1784" t="s">
        <v>1324</v>
      </c>
      <c r="G1784" t="s">
        <v>46</v>
      </c>
    </row>
    <row r="1785" spans="1:7" x14ac:dyDescent="0.35">
      <c r="A1785" t="s">
        <v>3255</v>
      </c>
      <c r="B1785" s="4" t="s">
        <v>1253</v>
      </c>
      <c r="C1785">
        <v>1</v>
      </c>
      <c r="D1785" s="7">
        <v>2</v>
      </c>
      <c r="E1785">
        <v>1</v>
      </c>
      <c r="F1785" t="s">
        <v>1321</v>
      </c>
      <c r="G1785" t="s">
        <v>46</v>
      </c>
    </row>
    <row r="1786" spans="1:7" x14ac:dyDescent="0.35">
      <c r="A1786" t="s">
        <v>3256</v>
      </c>
      <c r="B1786" s="4" t="s">
        <v>1253</v>
      </c>
      <c r="C1786">
        <v>4</v>
      </c>
      <c r="D1786" s="7">
        <v>14</v>
      </c>
      <c r="E1786">
        <v>1</v>
      </c>
      <c r="F1786" t="s">
        <v>1324</v>
      </c>
      <c r="G1786" t="s">
        <v>46</v>
      </c>
    </row>
    <row r="1787" spans="1:7" x14ac:dyDescent="0.35">
      <c r="A1787" t="s">
        <v>3257</v>
      </c>
      <c r="B1787" s="4" t="s">
        <v>1253</v>
      </c>
      <c r="C1787">
        <v>5</v>
      </c>
      <c r="D1787" s="7">
        <v>11</v>
      </c>
      <c r="E1787">
        <v>1</v>
      </c>
      <c r="F1787" t="s">
        <v>1324</v>
      </c>
      <c r="G1787" t="s">
        <v>46</v>
      </c>
    </row>
    <row r="1788" spans="1:7" x14ac:dyDescent="0.35">
      <c r="A1788" t="s">
        <v>3258</v>
      </c>
      <c r="B1788" s="4" t="s">
        <v>1253</v>
      </c>
      <c r="C1788">
        <v>6</v>
      </c>
      <c r="D1788" s="7">
        <v>13</v>
      </c>
      <c r="E1788">
        <v>1</v>
      </c>
      <c r="F1788" t="s">
        <v>1324</v>
      </c>
      <c r="G1788" t="s">
        <v>46</v>
      </c>
    </row>
    <row r="1789" spans="1:7" x14ac:dyDescent="0.35">
      <c r="A1789" t="s">
        <v>3259</v>
      </c>
      <c r="B1789" s="4" t="s">
        <v>1253</v>
      </c>
      <c r="C1789">
        <v>9</v>
      </c>
      <c r="D1789" s="7">
        <v>11</v>
      </c>
      <c r="E1789">
        <v>1</v>
      </c>
      <c r="F1789" t="s">
        <v>1324</v>
      </c>
      <c r="G1789" t="s">
        <v>46</v>
      </c>
    </row>
    <row r="1790" spans="1:7" x14ac:dyDescent="0.35">
      <c r="A1790" t="s">
        <v>3260</v>
      </c>
      <c r="B1790" s="4" t="s">
        <v>1256</v>
      </c>
      <c r="C1790">
        <v>4</v>
      </c>
      <c r="D1790" s="7">
        <v>9</v>
      </c>
      <c r="E1790">
        <v>1</v>
      </c>
      <c r="F1790" t="s">
        <v>1324</v>
      </c>
      <c r="G1790" t="s">
        <v>46</v>
      </c>
    </row>
    <row r="1791" spans="1:7" x14ac:dyDescent="0.35">
      <c r="A1791" t="s">
        <v>3261</v>
      </c>
      <c r="B1791" s="4" t="s">
        <v>1256</v>
      </c>
      <c r="C1791">
        <v>5</v>
      </c>
      <c r="D1791" s="7">
        <v>13</v>
      </c>
      <c r="E1791">
        <v>1</v>
      </c>
      <c r="F1791" t="s">
        <v>1324</v>
      </c>
      <c r="G1791" t="s">
        <v>46</v>
      </c>
    </row>
    <row r="1792" spans="1:7" x14ac:dyDescent="0.35">
      <c r="A1792" t="s">
        <v>3262</v>
      </c>
      <c r="B1792" s="4" t="s">
        <v>1256</v>
      </c>
      <c r="C1792">
        <v>6</v>
      </c>
      <c r="D1792" s="7">
        <v>9</v>
      </c>
      <c r="E1792">
        <v>1</v>
      </c>
      <c r="F1792" t="s">
        <v>1324</v>
      </c>
      <c r="G1792" t="s">
        <v>46</v>
      </c>
    </row>
    <row r="1793" spans="1:7" x14ac:dyDescent="0.35">
      <c r="A1793" t="s">
        <v>3263</v>
      </c>
      <c r="B1793" s="4" t="s">
        <v>1256</v>
      </c>
      <c r="C1793">
        <v>9</v>
      </c>
      <c r="D1793" s="7">
        <v>8</v>
      </c>
      <c r="E1793">
        <v>1</v>
      </c>
      <c r="F1793" t="s">
        <v>1324</v>
      </c>
      <c r="G1793" t="s">
        <v>46</v>
      </c>
    </row>
    <row r="1794" spans="1:7" x14ac:dyDescent="0.35">
      <c r="A1794" t="s">
        <v>3264</v>
      </c>
      <c r="B1794" s="4" t="s">
        <v>1262</v>
      </c>
      <c r="C1794">
        <v>1</v>
      </c>
      <c r="D1794" s="7">
        <v>2</v>
      </c>
      <c r="E1794">
        <v>1</v>
      </c>
      <c r="F1794" t="s">
        <v>1321</v>
      </c>
      <c r="G1794" t="s">
        <v>46</v>
      </c>
    </row>
    <row r="1795" spans="1:7" x14ac:dyDescent="0.35">
      <c r="A1795" t="s">
        <v>3265</v>
      </c>
      <c r="B1795" s="4" t="s">
        <v>1262</v>
      </c>
      <c r="C1795">
        <v>4</v>
      </c>
      <c r="D1795" s="7">
        <v>15</v>
      </c>
      <c r="E1795">
        <v>1</v>
      </c>
      <c r="F1795" t="s">
        <v>1324</v>
      </c>
      <c r="G1795" t="s">
        <v>46</v>
      </c>
    </row>
    <row r="1796" spans="1:7" x14ac:dyDescent="0.35">
      <c r="A1796" t="s">
        <v>3266</v>
      </c>
      <c r="B1796" s="4" t="s">
        <v>1262</v>
      </c>
      <c r="C1796">
        <v>5</v>
      </c>
      <c r="D1796" s="7">
        <v>12</v>
      </c>
      <c r="E1796">
        <v>1</v>
      </c>
      <c r="F1796" t="s">
        <v>1324</v>
      </c>
      <c r="G1796" t="s">
        <v>46</v>
      </c>
    </row>
    <row r="1797" spans="1:7" x14ac:dyDescent="0.35">
      <c r="A1797" t="s">
        <v>3267</v>
      </c>
      <c r="B1797" s="4" t="s">
        <v>1262</v>
      </c>
      <c r="C1797">
        <v>6</v>
      </c>
      <c r="D1797" s="7">
        <v>12</v>
      </c>
      <c r="E1797">
        <v>1</v>
      </c>
      <c r="F1797" t="s">
        <v>1324</v>
      </c>
      <c r="G1797" t="s">
        <v>46</v>
      </c>
    </row>
    <row r="1798" spans="1:7" x14ac:dyDescent="0.35">
      <c r="A1798" t="s">
        <v>3268</v>
      </c>
      <c r="B1798" s="4" t="s">
        <v>1262</v>
      </c>
      <c r="C1798">
        <v>9</v>
      </c>
      <c r="D1798" s="7">
        <v>13</v>
      </c>
      <c r="E1798">
        <v>1</v>
      </c>
      <c r="F1798" t="s">
        <v>1324</v>
      </c>
      <c r="G1798" t="s">
        <v>46</v>
      </c>
    </row>
    <row r="1799" spans="1:7" x14ac:dyDescent="0.35">
      <c r="A1799" t="s">
        <v>3269</v>
      </c>
      <c r="B1799" s="4" t="s">
        <v>1272</v>
      </c>
      <c r="C1799">
        <v>1</v>
      </c>
      <c r="D1799" s="7">
        <v>5</v>
      </c>
      <c r="E1799">
        <v>1</v>
      </c>
      <c r="F1799" t="s">
        <v>1321</v>
      </c>
      <c r="G1799" t="s">
        <v>46</v>
      </c>
    </row>
    <row r="1800" spans="1:7" x14ac:dyDescent="0.35">
      <c r="A1800" t="s">
        <v>3270</v>
      </c>
      <c r="B1800" s="4" t="s">
        <v>1272</v>
      </c>
      <c r="C1800">
        <v>1</v>
      </c>
      <c r="D1800" s="7">
        <v>1</v>
      </c>
      <c r="E1800">
        <v>2</v>
      </c>
      <c r="F1800" t="s">
        <v>1321</v>
      </c>
      <c r="G1800" t="s">
        <v>54</v>
      </c>
    </row>
    <row r="1801" spans="1:7" x14ac:dyDescent="0.35">
      <c r="A1801" t="s">
        <v>3271</v>
      </c>
      <c r="B1801" s="4" t="s">
        <v>1272</v>
      </c>
      <c r="C1801">
        <v>4</v>
      </c>
      <c r="D1801" s="7">
        <v>12</v>
      </c>
      <c r="E1801">
        <v>1</v>
      </c>
      <c r="F1801" t="s">
        <v>1324</v>
      </c>
      <c r="G1801" t="s">
        <v>46</v>
      </c>
    </row>
    <row r="1802" spans="1:7" x14ac:dyDescent="0.35">
      <c r="A1802" t="s">
        <v>3272</v>
      </c>
      <c r="B1802" s="4" t="s">
        <v>1272</v>
      </c>
      <c r="C1802">
        <v>5</v>
      </c>
      <c r="D1802" s="7">
        <v>11</v>
      </c>
      <c r="E1802">
        <v>1</v>
      </c>
      <c r="F1802" t="s">
        <v>1324</v>
      </c>
      <c r="G1802" t="s">
        <v>46</v>
      </c>
    </row>
    <row r="1803" spans="1:7" x14ac:dyDescent="0.35">
      <c r="A1803" t="s">
        <v>3273</v>
      </c>
      <c r="B1803" s="4" t="s">
        <v>1272</v>
      </c>
      <c r="C1803">
        <v>6</v>
      </c>
      <c r="D1803" s="7">
        <v>15</v>
      </c>
      <c r="E1803">
        <v>1</v>
      </c>
      <c r="F1803" t="s">
        <v>1324</v>
      </c>
      <c r="G1803" t="s">
        <v>46</v>
      </c>
    </row>
    <row r="1804" spans="1:7" x14ac:dyDescent="0.35">
      <c r="A1804" t="s">
        <v>3274</v>
      </c>
      <c r="B1804" s="4" t="s">
        <v>1272</v>
      </c>
      <c r="C1804">
        <v>9</v>
      </c>
      <c r="D1804" s="7">
        <v>13</v>
      </c>
      <c r="E1804">
        <v>1</v>
      </c>
      <c r="F1804" t="s">
        <v>1324</v>
      </c>
      <c r="G1804" t="s">
        <v>46</v>
      </c>
    </row>
    <row r="1805" spans="1:7" x14ac:dyDescent="0.35">
      <c r="A1805" t="s">
        <v>3275</v>
      </c>
      <c r="B1805" s="4" t="s">
        <v>1289</v>
      </c>
      <c r="C1805">
        <v>4</v>
      </c>
      <c r="D1805" s="7">
        <v>5</v>
      </c>
      <c r="E1805">
        <v>1</v>
      </c>
      <c r="F1805" t="s">
        <v>1324</v>
      </c>
      <c r="G1805" t="s">
        <v>46</v>
      </c>
    </row>
    <row r="1806" spans="1:7" x14ac:dyDescent="0.35">
      <c r="A1806" t="s">
        <v>3276</v>
      </c>
      <c r="B1806" s="4" t="s">
        <v>1289</v>
      </c>
      <c r="C1806">
        <v>5</v>
      </c>
      <c r="D1806" s="7">
        <v>5</v>
      </c>
      <c r="E1806">
        <v>1</v>
      </c>
      <c r="F1806" t="s">
        <v>1324</v>
      </c>
      <c r="G1806" t="s">
        <v>46</v>
      </c>
    </row>
    <row r="1807" spans="1:7" x14ac:dyDescent="0.35">
      <c r="A1807" t="s">
        <v>3277</v>
      </c>
      <c r="B1807" s="4" t="s">
        <v>1289</v>
      </c>
      <c r="C1807">
        <v>6</v>
      </c>
      <c r="D1807" s="7">
        <v>5</v>
      </c>
      <c r="E1807">
        <v>1</v>
      </c>
      <c r="F1807" t="s">
        <v>1324</v>
      </c>
      <c r="G1807" t="s">
        <v>46</v>
      </c>
    </row>
    <row r="1808" spans="1:7" x14ac:dyDescent="0.35">
      <c r="A1808" t="s">
        <v>3278</v>
      </c>
      <c r="B1808" s="4" t="s">
        <v>1289</v>
      </c>
      <c r="C1808">
        <v>9</v>
      </c>
      <c r="D1808" s="7">
        <v>4</v>
      </c>
      <c r="E1808">
        <v>1</v>
      </c>
      <c r="F1808" t="s">
        <v>1324</v>
      </c>
      <c r="G1808" t="s">
        <v>46</v>
      </c>
    </row>
    <row r="1809" spans="1:7" x14ac:dyDescent="0.35">
      <c r="A1809" t="s">
        <v>3279</v>
      </c>
      <c r="B1809" s="4" t="s">
        <v>1294</v>
      </c>
      <c r="C1809">
        <v>4</v>
      </c>
      <c r="D1809" s="7">
        <v>4</v>
      </c>
      <c r="E1809">
        <v>1</v>
      </c>
      <c r="F1809" t="s">
        <v>1324</v>
      </c>
      <c r="G1809" t="s">
        <v>46</v>
      </c>
    </row>
    <row r="1810" spans="1:7" x14ac:dyDescent="0.35">
      <c r="A1810" t="s">
        <v>3280</v>
      </c>
      <c r="B1810" s="4" t="s">
        <v>1294</v>
      </c>
      <c r="C1810">
        <v>5</v>
      </c>
      <c r="D1810" s="7">
        <v>6</v>
      </c>
      <c r="E1810">
        <v>1</v>
      </c>
      <c r="F1810" t="s">
        <v>1324</v>
      </c>
      <c r="G1810" t="s">
        <v>46</v>
      </c>
    </row>
    <row r="1811" spans="1:7" x14ac:dyDescent="0.35">
      <c r="A1811" t="s">
        <v>3281</v>
      </c>
      <c r="B1811" s="4" t="s">
        <v>1294</v>
      </c>
      <c r="C1811">
        <v>6</v>
      </c>
      <c r="D1811" s="7">
        <v>4</v>
      </c>
      <c r="E1811">
        <v>1</v>
      </c>
      <c r="F1811" t="s">
        <v>1324</v>
      </c>
      <c r="G1811" t="s">
        <v>46</v>
      </c>
    </row>
    <row r="1812" spans="1:7" x14ac:dyDescent="0.35">
      <c r="A1812" t="s">
        <v>3282</v>
      </c>
      <c r="B1812" s="4" t="s">
        <v>1294</v>
      </c>
      <c r="C1812">
        <v>9</v>
      </c>
      <c r="D1812" s="7">
        <v>7</v>
      </c>
      <c r="E1812">
        <v>1</v>
      </c>
      <c r="F1812" t="s">
        <v>1324</v>
      </c>
      <c r="G1812" t="s">
        <v>46</v>
      </c>
    </row>
    <row r="1813" spans="1:7" x14ac:dyDescent="0.35">
      <c r="A1813" t="s">
        <v>3283</v>
      </c>
      <c r="B1813" s="4" t="s">
        <v>1303</v>
      </c>
      <c r="C1813">
        <v>4</v>
      </c>
      <c r="D1813" s="7">
        <v>11</v>
      </c>
      <c r="E1813">
        <v>1</v>
      </c>
      <c r="F1813" t="s">
        <v>1324</v>
      </c>
      <c r="G1813" t="s">
        <v>46</v>
      </c>
    </row>
    <row r="1814" spans="1:7" x14ac:dyDescent="0.35">
      <c r="A1814" t="s">
        <v>3284</v>
      </c>
      <c r="B1814" s="4" t="s">
        <v>1303</v>
      </c>
      <c r="C1814">
        <v>5</v>
      </c>
      <c r="D1814" s="7">
        <v>14</v>
      </c>
      <c r="E1814">
        <v>1</v>
      </c>
      <c r="F1814" t="s">
        <v>1324</v>
      </c>
      <c r="G1814" t="s">
        <v>46</v>
      </c>
    </row>
    <row r="1815" spans="1:7" x14ac:dyDescent="0.35">
      <c r="A1815" t="s">
        <v>3285</v>
      </c>
      <c r="B1815" s="4" t="s">
        <v>1303</v>
      </c>
      <c r="C1815">
        <v>6</v>
      </c>
      <c r="D1815" s="7">
        <v>15</v>
      </c>
      <c r="E1815">
        <v>1</v>
      </c>
      <c r="F1815" t="s">
        <v>1324</v>
      </c>
      <c r="G1815" t="s">
        <v>46</v>
      </c>
    </row>
    <row r="1816" spans="1:7" x14ac:dyDescent="0.35">
      <c r="A1816" t="s">
        <v>3286</v>
      </c>
      <c r="B1816" s="4" t="s">
        <v>1303</v>
      </c>
      <c r="C1816">
        <v>9</v>
      </c>
      <c r="D1816" s="7">
        <v>8</v>
      </c>
      <c r="E1816">
        <v>1</v>
      </c>
      <c r="F1816" t="s">
        <v>1324</v>
      </c>
      <c r="G1816" t="s">
        <v>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2"/>
  <sheetViews>
    <sheetView workbookViewId="0">
      <pane ySplit="1" topLeftCell="A770" activePane="bottomLeft" state="frozen"/>
      <selection pane="bottomLeft" activeCell="H786" sqref="H786"/>
    </sheetView>
  </sheetViews>
  <sheetFormatPr defaultRowHeight="14.5" x14ac:dyDescent="0.35"/>
  <cols>
    <col min="1" max="1" width="13" customWidth="1"/>
    <col min="2" max="2" width="14" style="4" customWidth="1"/>
    <col min="3" max="3" width="24" customWidth="1"/>
    <col min="4" max="4" width="17" customWidth="1"/>
    <col min="5" max="5" width="16" style="9" customWidth="1"/>
    <col min="6" max="6" width="14" customWidth="1"/>
    <col min="8" max="8" width="9.453125" bestFit="1" customWidth="1"/>
  </cols>
  <sheetData>
    <row r="1" spans="1:6" x14ac:dyDescent="0.35">
      <c r="A1" s="2" t="s">
        <v>3287</v>
      </c>
      <c r="B1" s="3" t="s">
        <v>33</v>
      </c>
      <c r="C1" s="2" t="s">
        <v>3288</v>
      </c>
      <c r="D1" s="2" t="s">
        <v>3289</v>
      </c>
      <c r="E1" s="8" t="s">
        <v>3290</v>
      </c>
      <c r="F1" s="2" t="s">
        <v>38</v>
      </c>
    </row>
    <row r="2" spans="1:6" x14ac:dyDescent="0.35">
      <c r="A2" t="s">
        <v>3291</v>
      </c>
      <c r="B2" s="4" t="s">
        <v>44</v>
      </c>
      <c r="C2" t="s">
        <v>3292</v>
      </c>
      <c r="D2">
        <v>8</v>
      </c>
      <c r="E2" s="9">
        <v>200</v>
      </c>
      <c r="F2">
        <v>1</v>
      </c>
    </row>
    <row r="3" spans="1:6" x14ac:dyDescent="0.35">
      <c r="A3" t="s">
        <v>3293</v>
      </c>
      <c r="B3" s="4" t="s">
        <v>44</v>
      </c>
      <c r="C3" t="s">
        <v>3294</v>
      </c>
      <c r="D3">
        <v>7</v>
      </c>
      <c r="E3" s="9">
        <v>210</v>
      </c>
      <c r="F3">
        <v>1</v>
      </c>
    </row>
    <row r="4" spans="1:6" x14ac:dyDescent="0.35">
      <c r="A4" t="s">
        <v>3295</v>
      </c>
      <c r="B4" s="4" t="s">
        <v>44</v>
      </c>
      <c r="C4" t="s">
        <v>3296</v>
      </c>
      <c r="D4">
        <v>48</v>
      </c>
      <c r="E4" s="9">
        <v>480</v>
      </c>
      <c r="F4">
        <v>2</v>
      </c>
    </row>
    <row r="5" spans="1:6" x14ac:dyDescent="0.35">
      <c r="A5" t="s">
        <v>3297</v>
      </c>
      <c r="B5" s="4" t="s">
        <v>44</v>
      </c>
      <c r="C5" t="s">
        <v>3298</v>
      </c>
      <c r="D5">
        <v>8</v>
      </c>
      <c r="E5" s="9">
        <v>120</v>
      </c>
      <c r="F5">
        <v>3</v>
      </c>
    </row>
    <row r="6" spans="1:6" x14ac:dyDescent="0.35">
      <c r="A6" t="s">
        <v>3299</v>
      </c>
      <c r="B6" s="4" t="s">
        <v>70</v>
      </c>
      <c r="C6" t="s">
        <v>3292</v>
      </c>
      <c r="D6">
        <v>8</v>
      </c>
      <c r="E6" s="9">
        <v>200</v>
      </c>
      <c r="F6">
        <v>1</v>
      </c>
    </row>
    <row r="7" spans="1:6" x14ac:dyDescent="0.35">
      <c r="A7" t="s">
        <v>3300</v>
      </c>
      <c r="B7" s="4" t="s">
        <v>70</v>
      </c>
      <c r="C7" t="s">
        <v>3294</v>
      </c>
      <c r="D7">
        <v>5</v>
      </c>
      <c r="E7" s="9">
        <v>150</v>
      </c>
      <c r="F7">
        <v>1</v>
      </c>
    </row>
    <row r="8" spans="1:6" x14ac:dyDescent="0.35">
      <c r="A8" t="s">
        <v>3301</v>
      </c>
      <c r="B8" s="4" t="s">
        <v>70</v>
      </c>
      <c r="C8" t="s">
        <v>3296</v>
      </c>
      <c r="D8">
        <v>53</v>
      </c>
      <c r="E8" s="9">
        <v>530</v>
      </c>
      <c r="F8">
        <v>2</v>
      </c>
    </row>
    <row r="9" spans="1:6" x14ac:dyDescent="0.35">
      <c r="A9" t="s">
        <v>3302</v>
      </c>
      <c r="B9" s="4" t="s">
        <v>70</v>
      </c>
      <c r="C9" t="s">
        <v>3298</v>
      </c>
      <c r="D9">
        <v>10</v>
      </c>
      <c r="E9" s="9">
        <v>150</v>
      </c>
      <c r="F9">
        <v>3</v>
      </c>
    </row>
    <row r="10" spans="1:6" x14ac:dyDescent="0.35">
      <c r="A10" t="s">
        <v>3303</v>
      </c>
      <c r="B10" s="4" t="s">
        <v>99</v>
      </c>
      <c r="C10" t="s">
        <v>3292</v>
      </c>
      <c r="D10">
        <v>9</v>
      </c>
      <c r="E10" s="9">
        <v>225</v>
      </c>
      <c r="F10">
        <v>1</v>
      </c>
    </row>
    <row r="11" spans="1:6" x14ac:dyDescent="0.35">
      <c r="A11" t="s">
        <v>3304</v>
      </c>
      <c r="B11" s="4" t="s">
        <v>99</v>
      </c>
      <c r="C11" t="s">
        <v>3294</v>
      </c>
      <c r="D11">
        <v>7</v>
      </c>
      <c r="E11" s="9">
        <v>210</v>
      </c>
      <c r="F11">
        <v>1</v>
      </c>
    </row>
    <row r="12" spans="1:6" x14ac:dyDescent="0.35">
      <c r="A12" t="s">
        <v>3305</v>
      </c>
      <c r="B12" s="4" t="s">
        <v>99</v>
      </c>
      <c r="C12" t="s">
        <v>3296</v>
      </c>
      <c r="D12">
        <v>42</v>
      </c>
      <c r="E12" s="9">
        <v>420</v>
      </c>
      <c r="F12">
        <v>2</v>
      </c>
    </row>
    <row r="13" spans="1:6" x14ac:dyDescent="0.35">
      <c r="A13" t="s">
        <v>3306</v>
      </c>
      <c r="B13" s="4" t="s">
        <v>99</v>
      </c>
      <c r="C13" t="s">
        <v>3298</v>
      </c>
      <c r="D13">
        <v>12</v>
      </c>
      <c r="E13" s="9">
        <v>180</v>
      </c>
      <c r="F13">
        <v>3</v>
      </c>
    </row>
    <row r="14" spans="1:6" x14ac:dyDescent="0.35">
      <c r="A14" t="s">
        <v>3307</v>
      </c>
      <c r="B14" s="4" t="s">
        <v>117</v>
      </c>
      <c r="C14" t="s">
        <v>3292</v>
      </c>
      <c r="D14">
        <v>8</v>
      </c>
      <c r="E14" s="9">
        <v>200</v>
      </c>
      <c r="F14">
        <v>1</v>
      </c>
    </row>
    <row r="15" spans="1:6" x14ac:dyDescent="0.35">
      <c r="A15" t="s">
        <v>3308</v>
      </c>
      <c r="B15" s="4" t="s">
        <v>117</v>
      </c>
      <c r="C15" t="s">
        <v>3294</v>
      </c>
      <c r="D15">
        <v>7</v>
      </c>
      <c r="E15" s="9">
        <v>210</v>
      </c>
      <c r="F15">
        <v>1</v>
      </c>
    </row>
    <row r="16" spans="1:6" x14ac:dyDescent="0.35">
      <c r="A16" t="s">
        <v>3309</v>
      </c>
      <c r="B16" s="4" t="s">
        <v>117</v>
      </c>
      <c r="C16" t="s">
        <v>3296</v>
      </c>
      <c r="D16">
        <v>44</v>
      </c>
      <c r="E16" s="9">
        <v>440</v>
      </c>
      <c r="F16">
        <v>2</v>
      </c>
    </row>
    <row r="17" spans="1:6" x14ac:dyDescent="0.35">
      <c r="A17" t="s">
        <v>3310</v>
      </c>
      <c r="B17" s="4" t="s">
        <v>117</v>
      </c>
      <c r="C17" t="s">
        <v>3298</v>
      </c>
      <c r="D17">
        <v>11</v>
      </c>
      <c r="E17" s="9">
        <v>165</v>
      </c>
      <c r="F17">
        <v>3</v>
      </c>
    </row>
    <row r="18" spans="1:6" x14ac:dyDescent="0.35">
      <c r="A18" t="s">
        <v>3311</v>
      </c>
      <c r="B18" s="4" t="s">
        <v>141</v>
      </c>
      <c r="C18" t="s">
        <v>3292</v>
      </c>
      <c r="D18">
        <v>8</v>
      </c>
      <c r="E18" s="9">
        <v>200</v>
      </c>
      <c r="F18">
        <v>1</v>
      </c>
    </row>
    <row r="19" spans="1:6" x14ac:dyDescent="0.35">
      <c r="A19" t="s">
        <v>3312</v>
      </c>
      <c r="B19" s="4" t="s">
        <v>141</v>
      </c>
      <c r="C19" t="s">
        <v>3294</v>
      </c>
      <c r="D19">
        <v>7</v>
      </c>
      <c r="E19" s="9">
        <v>210</v>
      </c>
      <c r="F19">
        <v>1</v>
      </c>
    </row>
    <row r="20" spans="1:6" x14ac:dyDescent="0.35">
      <c r="A20" t="s">
        <v>3313</v>
      </c>
      <c r="B20" s="4" t="s">
        <v>141</v>
      </c>
      <c r="C20" t="s">
        <v>3296</v>
      </c>
      <c r="D20">
        <v>41</v>
      </c>
      <c r="E20" s="9">
        <v>410</v>
      </c>
      <c r="F20">
        <v>2</v>
      </c>
    </row>
    <row r="21" spans="1:6" x14ac:dyDescent="0.35">
      <c r="A21" t="s">
        <v>3314</v>
      </c>
      <c r="B21" s="4" t="s">
        <v>141</v>
      </c>
      <c r="C21" t="s">
        <v>3298</v>
      </c>
      <c r="D21">
        <v>11</v>
      </c>
      <c r="E21" s="9">
        <v>165</v>
      </c>
      <c r="F21">
        <v>3</v>
      </c>
    </row>
    <row r="22" spans="1:6" x14ac:dyDescent="0.35">
      <c r="A22" t="s">
        <v>3315</v>
      </c>
      <c r="B22" s="4" t="s">
        <v>200</v>
      </c>
      <c r="C22" t="s">
        <v>3292</v>
      </c>
      <c r="D22">
        <v>10</v>
      </c>
      <c r="E22" s="9">
        <v>250</v>
      </c>
      <c r="F22">
        <v>1</v>
      </c>
    </row>
    <row r="23" spans="1:6" x14ac:dyDescent="0.35">
      <c r="A23" t="s">
        <v>3316</v>
      </c>
      <c r="B23" s="4" t="s">
        <v>200</v>
      </c>
      <c r="C23" t="s">
        <v>3294</v>
      </c>
      <c r="D23">
        <v>5</v>
      </c>
      <c r="E23" s="9">
        <v>150</v>
      </c>
      <c r="F23">
        <v>1</v>
      </c>
    </row>
    <row r="24" spans="1:6" x14ac:dyDescent="0.35">
      <c r="A24" t="s">
        <v>3317</v>
      </c>
      <c r="B24" s="4" t="s">
        <v>200</v>
      </c>
      <c r="C24" t="s">
        <v>3296</v>
      </c>
      <c r="D24">
        <v>47</v>
      </c>
      <c r="E24" s="9">
        <v>470</v>
      </c>
      <c r="F24">
        <v>2</v>
      </c>
    </row>
    <row r="25" spans="1:6" x14ac:dyDescent="0.35">
      <c r="A25" t="s">
        <v>3318</v>
      </c>
      <c r="B25" s="4" t="s">
        <v>200</v>
      </c>
      <c r="C25" t="s">
        <v>3298</v>
      </c>
      <c r="D25">
        <v>10</v>
      </c>
      <c r="E25" s="9">
        <v>150</v>
      </c>
      <c r="F25">
        <v>3</v>
      </c>
    </row>
    <row r="26" spans="1:6" x14ac:dyDescent="0.35">
      <c r="A26" t="s">
        <v>3319</v>
      </c>
      <c r="B26" s="4" t="s">
        <v>220</v>
      </c>
      <c r="C26" t="s">
        <v>3292</v>
      </c>
      <c r="D26">
        <v>9</v>
      </c>
      <c r="E26" s="9">
        <v>225</v>
      </c>
      <c r="F26">
        <v>1</v>
      </c>
    </row>
    <row r="27" spans="1:6" x14ac:dyDescent="0.35">
      <c r="A27" t="s">
        <v>3320</v>
      </c>
      <c r="B27" s="4" t="s">
        <v>220</v>
      </c>
      <c r="C27" t="s">
        <v>3294</v>
      </c>
      <c r="D27">
        <v>6</v>
      </c>
      <c r="E27" s="9">
        <v>180</v>
      </c>
      <c r="F27">
        <v>1</v>
      </c>
    </row>
    <row r="28" spans="1:6" x14ac:dyDescent="0.35">
      <c r="A28" t="s">
        <v>3321</v>
      </c>
      <c r="B28" s="4" t="s">
        <v>220</v>
      </c>
      <c r="C28" t="s">
        <v>3296</v>
      </c>
      <c r="D28">
        <v>52</v>
      </c>
      <c r="E28" s="9">
        <v>520</v>
      </c>
      <c r="F28">
        <v>2</v>
      </c>
    </row>
    <row r="29" spans="1:6" x14ac:dyDescent="0.35">
      <c r="A29" t="s">
        <v>3322</v>
      </c>
      <c r="B29" s="4" t="s">
        <v>220</v>
      </c>
      <c r="C29" t="s">
        <v>3298</v>
      </c>
      <c r="D29">
        <v>10</v>
      </c>
      <c r="E29" s="9">
        <v>150</v>
      </c>
      <c r="F29">
        <v>3</v>
      </c>
    </row>
    <row r="30" spans="1:6" x14ac:dyDescent="0.35">
      <c r="A30" t="s">
        <v>3323</v>
      </c>
      <c r="B30" s="4" t="s">
        <v>237</v>
      </c>
      <c r="C30" t="s">
        <v>3292</v>
      </c>
      <c r="D30">
        <v>9</v>
      </c>
      <c r="E30" s="9">
        <v>225</v>
      </c>
      <c r="F30">
        <v>1</v>
      </c>
    </row>
    <row r="31" spans="1:6" x14ac:dyDescent="0.35">
      <c r="A31" t="s">
        <v>3324</v>
      </c>
      <c r="B31" s="4" t="s">
        <v>237</v>
      </c>
      <c r="C31" t="s">
        <v>3294</v>
      </c>
      <c r="D31">
        <v>6</v>
      </c>
      <c r="E31" s="9">
        <v>180</v>
      </c>
      <c r="F31">
        <v>1</v>
      </c>
    </row>
    <row r="32" spans="1:6" x14ac:dyDescent="0.35">
      <c r="A32" t="s">
        <v>3325</v>
      </c>
      <c r="B32" s="4" t="s">
        <v>237</v>
      </c>
      <c r="C32" t="s">
        <v>3296</v>
      </c>
      <c r="D32">
        <v>48</v>
      </c>
      <c r="E32" s="9">
        <v>480</v>
      </c>
      <c r="F32">
        <v>2</v>
      </c>
    </row>
    <row r="33" spans="1:6" x14ac:dyDescent="0.35">
      <c r="A33" t="s">
        <v>3326</v>
      </c>
      <c r="B33" s="4" t="s">
        <v>237</v>
      </c>
      <c r="C33" t="s">
        <v>3298</v>
      </c>
      <c r="D33">
        <v>9</v>
      </c>
      <c r="E33" s="9">
        <v>135</v>
      </c>
      <c r="F33">
        <v>3</v>
      </c>
    </row>
    <row r="34" spans="1:6" x14ac:dyDescent="0.35">
      <c r="A34" t="s">
        <v>3327</v>
      </c>
      <c r="B34" s="4" t="s">
        <v>244</v>
      </c>
      <c r="C34" t="s">
        <v>3292</v>
      </c>
      <c r="D34">
        <v>8</v>
      </c>
      <c r="E34" s="9">
        <v>200</v>
      </c>
      <c r="F34">
        <v>1</v>
      </c>
    </row>
    <row r="35" spans="1:6" x14ac:dyDescent="0.35">
      <c r="A35" t="s">
        <v>3328</v>
      </c>
      <c r="B35" s="4" t="s">
        <v>244</v>
      </c>
      <c r="C35" t="s">
        <v>3294</v>
      </c>
      <c r="D35">
        <v>5</v>
      </c>
      <c r="E35" s="9">
        <v>150</v>
      </c>
      <c r="F35">
        <v>1</v>
      </c>
    </row>
    <row r="36" spans="1:6" x14ac:dyDescent="0.35">
      <c r="A36" t="s">
        <v>3329</v>
      </c>
      <c r="B36" s="4" t="s">
        <v>244</v>
      </c>
      <c r="C36" t="s">
        <v>3296</v>
      </c>
      <c r="D36">
        <v>44</v>
      </c>
      <c r="E36" s="9">
        <v>440</v>
      </c>
      <c r="F36">
        <v>2</v>
      </c>
    </row>
    <row r="37" spans="1:6" x14ac:dyDescent="0.35">
      <c r="A37" t="s">
        <v>3330</v>
      </c>
      <c r="B37" s="4" t="s">
        <v>244</v>
      </c>
      <c r="C37" t="s">
        <v>3298</v>
      </c>
      <c r="D37">
        <v>12</v>
      </c>
      <c r="E37" s="9">
        <v>180</v>
      </c>
      <c r="F37">
        <v>3</v>
      </c>
    </row>
    <row r="38" spans="1:6" x14ac:dyDescent="0.35">
      <c r="A38" t="s">
        <v>3331</v>
      </c>
      <c r="B38" s="4" t="s">
        <v>247</v>
      </c>
      <c r="C38" t="s">
        <v>3292</v>
      </c>
      <c r="D38">
        <v>8</v>
      </c>
      <c r="E38" s="9">
        <v>200</v>
      </c>
      <c r="F38">
        <v>1</v>
      </c>
    </row>
    <row r="39" spans="1:6" x14ac:dyDescent="0.35">
      <c r="A39" t="s">
        <v>3332</v>
      </c>
      <c r="B39" s="4" t="s">
        <v>247</v>
      </c>
      <c r="C39" t="s">
        <v>3294</v>
      </c>
      <c r="D39">
        <v>5</v>
      </c>
      <c r="E39" s="9">
        <v>150</v>
      </c>
      <c r="F39">
        <v>1</v>
      </c>
    </row>
    <row r="40" spans="1:6" x14ac:dyDescent="0.35">
      <c r="A40" t="s">
        <v>3333</v>
      </c>
      <c r="B40" s="4" t="s">
        <v>247</v>
      </c>
      <c r="C40" t="s">
        <v>3296</v>
      </c>
      <c r="D40">
        <v>43</v>
      </c>
      <c r="E40" s="9">
        <v>430</v>
      </c>
      <c r="F40">
        <v>2</v>
      </c>
    </row>
    <row r="41" spans="1:6" x14ac:dyDescent="0.35">
      <c r="A41" t="s">
        <v>3334</v>
      </c>
      <c r="B41" s="4" t="s">
        <v>247</v>
      </c>
      <c r="C41" t="s">
        <v>3298</v>
      </c>
      <c r="D41">
        <v>9</v>
      </c>
      <c r="E41" s="9">
        <v>135</v>
      </c>
      <c r="F41">
        <v>3</v>
      </c>
    </row>
    <row r="42" spans="1:6" x14ac:dyDescent="0.35">
      <c r="A42" t="s">
        <v>3335</v>
      </c>
      <c r="B42" s="4" t="s">
        <v>255</v>
      </c>
      <c r="C42" t="s">
        <v>3292</v>
      </c>
      <c r="D42">
        <v>9</v>
      </c>
      <c r="E42" s="9">
        <v>225</v>
      </c>
      <c r="F42">
        <v>1</v>
      </c>
    </row>
    <row r="43" spans="1:6" x14ac:dyDescent="0.35">
      <c r="A43" t="s">
        <v>3336</v>
      </c>
      <c r="B43" s="4" t="s">
        <v>255</v>
      </c>
      <c r="C43" t="s">
        <v>3294</v>
      </c>
      <c r="D43">
        <v>6</v>
      </c>
      <c r="E43" s="9">
        <v>180</v>
      </c>
      <c r="F43">
        <v>1</v>
      </c>
    </row>
    <row r="44" spans="1:6" x14ac:dyDescent="0.35">
      <c r="A44" t="s">
        <v>3337</v>
      </c>
      <c r="B44" s="4" t="s">
        <v>255</v>
      </c>
      <c r="C44" t="s">
        <v>3296</v>
      </c>
      <c r="D44">
        <v>50</v>
      </c>
      <c r="E44" s="9">
        <v>500</v>
      </c>
      <c r="F44">
        <v>2</v>
      </c>
    </row>
    <row r="45" spans="1:6" x14ac:dyDescent="0.35">
      <c r="A45" t="s">
        <v>3338</v>
      </c>
      <c r="B45" s="4" t="s">
        <v>255</v>
      </c>
      <c r="C45" t="s">
        <v>3298</v>
      </c>
      <c r="D45">
        <v>11</v>
      </c>
      <c r="E45" s="9">
        <v>165</v>
      </c>
      <c r="F45">
        <v>3</v>
      </c>
    </row>
    <row r="46" spans="1:6" x14ac:dyDescent="0.35">
      <c r="A46" t="s">
        <v>3339</v>
      </c>
      <c r="B46" s="4" t="s">
        <v>257</v>
      </c>
      <c r="C46" t="s">
        <v>3292</v>
      </c>
      <c r="D46">
        <v>8</v>
      </c>
      <c r="E46" s="9">
        <v>200</v>
      </c>
      <c r="F46">
        <v>1</v>
      </c>
    </row>
    <row r="47" spans="1:6" x14ac:dyDescent="0.35">
      <c r="A47" t="s">
        <v>3340</v>
      </c>
      <c r="B47" s="4" t="s">
        <v>257</v>
      </c>
      <c r="C47" t="s">
        <v>3294</v>
      </c>
      <c r="D47">
        <v>7</v>
      </c>
      <c r="E47" s="9">
        <v>210</v>
      </c>
      <c r="F47">
        <v>1</v>
      </c>
    </row>
    <row r="48" spans="1:6" x14ac:dyDescent="0.35">
      <c r="A48" t="s">
        <v>3341</v>
      </c>
      <c r="B48" s="4" t="s">
        <v>257</v>
      </c>
      <c r="C48" t="s">
        <v>3296</v>
      </c>
      <c r="D48">
        <v>51</v>
      </c>
      <c r="E48" s="9">
        <v>510</v>
      </c>
      <c r="F48">
        <v>2</v>
      </c>
    </row>
    <row r="49" spans="1:6" x14ac:dyDescent="0.35">
      <c r="A49" t="s">
        <v>3342</v>
      </c>
      <c r="B49" s="4" t="s">
        <v>257</v>
      </c>
      <c r="C49" t="s">
        <v>3298</v>
      </c>
      <c r="D49">
        <v>9</v>
      </c>
      <c r="E49" s="9">
        <v>135</v>
      </c>
      <c r="F49">
        <v>3</v>
      </c>
    </row>
    <row r="50" spans="1:6" x14ac:dyDescent="0.35">
      <c r="A50" t="s">
        <v>3343</v>
      </c>
      <c r="B50" s="4" t="s">
        <v>266</v>
      </c>
      <c r="C50" t="s">
        <v>3292</v>
      </c>
      <c r="D50">
        <v>9</v>
      </c>
      <c r="E50" s="9">
        <v>225</v>
      </c>
      <c r="F50">
        <v>1</v>
      </c>
    </row>
    <row r="51" spans="1:6" x14ac:dyDescent="0.35">
      <c r="A51" t="s">
        <v>3344</v>
      </c>
      <c r="B51" s="4" t="s">
        <v>266</v>
      </c>
      <c r="C51" t="s">
        <v>3294</v>
      </c>
      <c r="D51">
        <v>6</v>
      </c>
      <c r="E51" s="9">
        <v>180</v>
      </c>
      <c r="F51">
        <v>1</v>
      </c>
    </row>
    <row r="52" spans="1:6" x14ac:dyDescent="0.35">
      <c r="A52" t="s">
        <v>3345</v>
      </c>
      <c r="B52" s="4" t="s">
        <v>266</v>
      </c>
      <c r="C52" t="s">
        <v>3296</v>
      </c>
      <c r="D52">
        <v>54</v>
      </c>
      <c r="E52" s="9">
        <v>540</v>
      </c>
      <c r="F52">
        <v>2</v>
      </c>
    </row>
    <row r="53" spans="1:6" x14ac:dyDescent="0.35">
      <c r="A53" t="s">
        <v>3346</v>
      </c>
      <c r="B53" s="4" t="s">
        <v>266</v>
      </c>
      <c r="C53" t="s">
        <v>3298</v>
      </c>
      <c r="D53">
        <v>10</v>
      </c>
      <c r="E53" s="9">
        <v>150</v>
      </c>
      <c r="F53">
        <v>3</v>
      </c>
    </row>
    <row r="54" spans="1:6" x14ac:dyDescent="0.35">
      <c r="A54" t="s">
        <v>3347</v>
      </c>
      <c r="B54" s="4" t="s">
        <v>273</v>
      </c>
      <c r="C54" t="s">
        <v>3292</v>
      </c>
      <c r="D54">
        <v>8</v>
      </c>
      <c r="E54" s="9">
        <v>200</v>
      </c>
      <c r="F54">
        <v>1</v>
      </c>
    </row>
    <row r="55" spans="1:6" x14ac:dyDescent="0.35">
      <c r="A55" t="s">
        <v>3348</v>
      </c>
      <c r="B55" s="4" t="s">
        <v>273</v>
      </c>
      <c r="C55" t="s">
        <v>3294</v>
      </c>
      <c r="D55">
        <v>5</v>
      </c>
      <c r="E55" s="9">
        <v>150</v>
      </c>
      <c r="F55">
        <v>1</v>
      </c>
    </row>
    <row r="56" spans="1:6" x14ac:dyDescent="0.35">
      <c r="A56" t="s">
        <v>3349</v>
      </c>
      <c r="B56" s="4" t="s">
        <v>273</v>
      </c>
      <c r="C56" t="s">
        <v>3296</v>
      </c>
      <c r="D56">
        <v>45</v>
      </c>
      <c r="E56" s="9">
        <v>450</v>
      </c>
      <c r="F56">
        <v>2</v>
      </c>
    </row>
    <row r="57" spans="1:6" x14ac:dyDescent="0.35">
      <c r="A57" t="s">
        <v>3350</v>
      </c>
      <c r="B57" s="4" t="s">
        <v>273</v>
      </c>
      <c r="C57" t="s">
        <v>3298</v>
      </c>
      <c r="D57">
        <v>10</v>
      </c>
      <c r="E57" s="9">
        <v>150</v>
      </c>
      <c r="F57">
        <v>3</v>
      </c>
    </row>
    <row r="58" spans="1:6" x14ac:dyDescent="0.35">
      <c r="A58" t="s">
        <v>3351</v>
      </c>
      <c r="B58" s="4" t="s">
        <v>277</v>
      </c>
      <c r="C58" t="s">
        <v>3292</v>
      </c>
      <c r="D58">
        <v>10</v>
      </c>
      <c r="E58" s="9">
        <v>250</v>
      </c>
      <c r="F58">
        <v>1</v>
      </c>
    </row>
    <row r="59" spans="1:6" x14ac:dyDescent="0.35">
      <c r="A59" t="s">
        <v>3352</v>
      </c>
      <c r="B59" s="4" t="s">
        <v>277</v>
      </c>
      <c r="C59" t="s">
        <v>3294</v>
      </c>
      <c r="D59">
        <v>7</v>
      </c>
      <c r="E59" s="9">
        <v>210</v>
      </c>
      <c r="F59">
        <v>1</v>
      </c>
    </row>
    <row r="60" spans="1:6" x14ac:dyDescent="0.35">
      <c r="A60" t="s">
        <v>3353</v>
      </c>
      <c r="B60" s="4" t="s">
        <v>277</v>
      </c>
      <c r="C60" t="s">
        <v>3296</v>
      </c>
      <c r="D60">
        <v>41</v>
      </c>
      <c r="E60" s="9">
        <v>410</v>
      </c>
      <c r="F60">
        <v>2</v>
      </c>
    </row>
    <row r="61" spans="1:6" x14ac:dyDescent="0.35">
      <c r="A61" t="s">
        <v>3354</v>
      </c>
      <c r="B61" s="4" t="s">
        <v>277</v>
      </c>
      <c r="C61" t="s">
        <v>3298</v>
      </c>
      <c r="D61">
        <v>9</v>
      </c>
      <c r="E61" s="9">
        <v>135</v>
      </c>
      <c r="F61">
        <v>3</v>
      </c>
    </row>
    <row r="62" spans="1:6" x14ac:dyDescent="0.35">
      <c r="A62" t="s">
        <v>3355</v>
      </c>
      <c r="B62" s="4" t="s">
        <v>1448</v>
      </c>
      <c r="C62" t="s">
        <v>3292</v>
      </c>
      <c r="D62">
        <v>9</v>
      </c>
      <c r="E62" s="9">
        <v>225</v>
      </c>
      <c r="F62">
        <v>1</v>
      </c>
    </row>
    <row r="63" spans="1:6" x14ac:dyDescent="0.35">
      <c r="A63" t="s">
        <v>3356</v>
      </c>
      <c r="B63" s="4" t="s">
        <v>1448</v>
      </c>
      <c r="C63" t="s">
        <v>3294</v>
      </c>
      <c r="D63">
        <v>5</v>
      </c>
      <c r="E63" s="9">
        <v>150</v>
      </c>
      <c r="F63">
        <v>1</v>
      </c>
    </row>
    <row r="64" spans="1:6" x14ac:dyDescent="0.35">
      <c r="A64" t="s">
        <v>3357</v>
      </c>
      <c r="B64" s="4" t="s">
        <v>1448</v>
      </c>
      <c r="C64" t="s">
        <v>3296</v>
      </c>
      <c r="D64">
        <v>42</v>
      </c>
      <c r="E64" s="9">
        <v>420</v>
      </c>
      <c r="F64">
        <v>2</v>
      </c>
    </row>
    <row r="65" spans="1:6" x14ac:dyDescent="0.35">
      <c r="A65" t="s">
        <v>3358</v>
      </c>
      <c r="B65" s="4" t="s">
        <v>1448</v>
      </c>
      <c r="C65" t="s">
        <v>3298</v>
      </c>
      <c r="D65">
        <v>9</v>
      </c>
      <c r="E65" s="9">
        <v>135</v>
      </c>
      <c r="F65">
        <v>3</v>
      </c>
    </row>
    <row r="66" spans="1:6" x14ac:dyDescent="0.35">
      <c r="A66" t="s">
        <v>3359</v>
      </c>
      <c r="B66" s="4" t="s">
        <v>1455</v>
      </c>
      <c r="C66" t="s">
        <v>3292</v>
      </c>
      <c r="D66">
        <v>9</v>
      </c>
      <c r="E66" s="9">
        <v>225</v>
      </c>
      <c r="F66">
        <v>1</v>
      </c>
    </row>
    <row r="67" spans="1:6" x14ac:dyDescent="0.35">
      <c r="A67" t="s">
        <v>3360</v>
      </c>
      <c r="B67" s="4" t="s">
        <v>1455</v>
      </c>
      <c r="C67" t="s">
        <v>3294</v>
      </c>
      <c r="D67">
        <v>6</v>
      </c>
      <c r="E67" s="9">
        <v>180</v>
      </c>
      <c r="F67">
        <v>1</v>
      </c>
    </row>
    <row r="68" spans="1:6" x14ac:dyDescent="0.35">
      <c r="A68" t="s">
        <v>3361</v>
      </c>
      <c r="B68" s="4" t="s">
        <v>1455</v>
      </c>
      <c r="C68" t="s">
        <v>3296</v>
      </c>
      <c r="D68">
        <v>41</v>
      </c>
      <c r="E68" s="9">
        <v>410</v>
      </c>
      <c r="F68">
        <v>2</v>
      </c>
    </row>
    <row r="69" spans="1:6" x14ac:dyDescent="0.35">
      <c r="A69" t="s">
        <v>3362</v>
      </c>
      <c r="B69" s="4" t="s">
        <v>1455</v>
      </c>
      <c r="C69" t="s">
        <v>3298</v>
      </c>
      <c r="D69">
        <v>10</v>
      </c>
      <c r="E69" s="9">
        <v>150</v>
      </c>
      <c r="F69">
        <v>3</v>
      </c>
    </row>
    <row r="70" spans="1:6" x14ac:dyDescent="0.35">
      <c r="A70" t="s">
        <v>3363</v>
      </c>
      <c r="B70" s="4" t="s">
        <v>1462</v>
      </c>
      <c r="C70" t="s">
        <v>3292</v>
      </c>
      <c r="D70">
        <v>9</v>
      </c>
      <c r="E70" s="9">
        <v>225</v>
      </c>
      <c r="F70">
        <v>1</v>
      </c>
    </row>
    <row r="71" spans="1:6" x14ac:dyDescent="0.35">
      <c r="A71" t="s">
        <v>3364</v>
      </c>
      <c r="B71" s="4" t="s">
        <v>1462</v>
      </c>
      <c r="C71" t="s">
        <v>3294</v>
      </c>
      <c r="D71">
        <v>5</v>
      </c>
      <c r="E71" s="9">
        <v>150</v>
      </c>
      <c r="F71">
        <v>1</v>
      </c>
    </row>
    <row r="72" spans="1:6" x14ac:dyDescent="0.35">
      <c r="A72" t="s">
        <v>3365</v>
      </c>
      <c r="B72" s="4" t="s">
        <v>1462</v>
      </c>
      <c r="C72" t="s">
        <v>3296</v>
      </c>
      <c r="D72">
        <v>40</v>
      </c>
      <c r="E72" s="9">
        <v>400</v>
      </c>
      <c r="F72">
        <v>2</v>
      </c>
    </row>
    <row r="73" spans="1:6" x14ac:dyDescent="0.35">
      <c r="A73" t="s">
        <v>3366</v>
      </c>
      <c r="B73" s="4" t="s">
        <v>1462</v>
      </c>
      <c r="C73" t="s">
        <v>3298</v>
      </c>
      <c r="D73">
        <v>11</v>
      </c>
      <c r="E73" s="9">
        <v>165</v>
      </c>
      <c r="F73">
        <v>3</v>
      </c>
    </row>
    <row r="74" spans="1:6" x14ac:dyDescent="0.35">
      <c r="A74" t="s">
        <v>3367</v>
      </c>
      <c r="B74" s="4" t="s">
        <v>1469</v>
      </c>
      <c r="C74" t="s">
        <v>3292</v>
      </c>
      <c r="D74">
        <v>9</v>
      </c>
      <c r="E74" s="9">
        <v>225</v>
      </c>
      <c r="F74">
        <v>1</v>
      </c>
    </row>
    <row r="75" spans="1:6" x14ac:dyDescent="0.35">
      <c r="A75" t="s">
        <v>3368</v>
      </c>
      <c r="B75" s="4" t="s">
        <v>1469</v>
      </c>
      <c r="C75" t="s">
        <v>3294</v>
      </c>
      <c r="D75">
        <v>7</v>
      </c>
      <c r="E75" s="9">
        <v>210</v>
      </c>
      <c r="F75">
        <v>1</v>
      </c>
    </row>
    <row r="76" spans="1:6" x14ac:dyDescent="0.35">
      <c r="A76" t="s">
        <v>3369</v>
      </c>
      <c r="B76" s="4" t="s">
        <v>1469</v>
      </c>
      <c r="C76" t="s">
        <v>3296</v>
      </c>
      <c r="D76">
        <v>47</v>
      </c>
      <c r="E76" s="9">
        <v>470</v>
      </c>
      <c r="F76">
        <v>2</v>
      </c>
    </row>
    <row r="77" spans="1:6" x14ac:dyDescent="0.35">
      <c r="A77" t="s">
        <v>3370</v>
      </c>
      <c r="B77" s="4" t="s">
        <v>1469</v>
      </c>
      <c r="C77" t="s">
        <v>3298</v>
      </c>
      <c r="D77">
        <v>8</v>
      </c>
      <c r="E77" s="9">
        <v>120</v>
      </c>
      <c r="F77">
        <v>3</v>
      </c>
    </row>
    <row r="78" spans="1:6" x14ac:dyDescent="0.35">
      <c r="A78" t="s">
        <v>3371</v>
      </c>
      <c r="B78" s="4" t="s">
        <v>279</v>
      </c>
      <c r="C78" t="s">
        <v>3292</v>
      </c>
      <c r="D78">
        <v>9</v>
      </c>
      <c r="E78" s="9">
        <v>225</v>
      </c>
      <c r="F78">
        <v>1</v>
      </c>
    </row>
    <row r="79" spans="1:6" x14ac:dyDescent="0.35">
      <c r="A79" t="s">
        <v>3372</v>
      </c>
      <c r="B79" s="4" t="s">
        <v>279</v>
      </c>
      <c r="C79" t="s">
        <v>3294</v>
      </c>
      <c r="D79">
        <v>5</v>
      </c>
      <c r="E79" s="9">
        <v>150</v>
      </c>
      <c r="F79">
        <v>1</v>
      </c>
    </row>
    <row r="80" spans="1:6" x14ac:dyDescent="0.35">
      <c r="A80" t="s">
        <v>3373</v>
      </c>
      <c r="B80" s="4" t="s">
        <v>279</v>
      </c>
      <c r="C80" t="s">
        <v>3296</v>
      </c>
      <c r="D80">
        <v>44</v>
      </c>
      <c r="E80" s="9">
        <v>440</v>
      </c>
      <c r="F80">
        <v>2</v>
      </c>
    </row>
    <row r="81" spans="1:6" x14ac:dyDescent="0.35">
      <c r="A81" t="s">
        <v>3374</v>
      </c>
      <c r="B81" s="4" t="s">
        <v>279</v>
      </c>
      <c r="C81" t="s">
        <v>3298</v>
      </c>
      <c r="D81">
        <v>8</v>
      </c>
      <c r="E81" s="9">
        <v>120</v>
      </c>
      <c r="F81">
        <v>3</v>
      </c>
    </row>
    <row r="82" spans="1:6" x14ac:dyDescent="0.35">
      <c r="A82" t="s">
        <v>3375</v>
      </c>
      <c r="B82" s="4" t="s">
        <v>1496</v>
      </c>
      <c r="C82" t="s">
        <v>3292</v>
      </c>
      <c r="D82">
        <v>8</v>
      </c>
      <c r="E82" s="9">
        <v>200</v>
      </c>
      <c r="F82">
        <v>1</v>
      </c>
    </row>
    <row r="83" spans="1:6" x14ac:dyDescent="0.35">
      <c r="A83" t="s">
        <v>3376</v>
      </c>
      <c r="B83" s="4" t="s">
        <v>1496</v>
      </c>
      <c r="C83" t="s">
        <v>3294</v>
      </c>
      <c r="D83">
        <v>5</v>
      </c>
      <c r="E83" s="9">
        <v>150</v>
      </c>
      <c r="F83">
        <v>1</v>
      </c>
    </row>
    <row r="84" spans="1:6" x14ac:dyDescent="0.35">
      <c r="A84" t="s">
        <v>3377</v>
      </c>
      <c r="B84" s="4" t="s">
        <v>1496</v>
      </c>
      <c r="C84" t="s">
        <v>3296</v>
      </c>
      <c r="D84">
        <v>47</v>
      </c>
      <c r="E84" s="9">
        <v>470</v>
      </c>
      <c r="F84">
        <v>2</v>
      </c>
    </row>
    <row r="85" spans="1:6" x14ac:dyDescent="0.35">
      <c r="A85" t="s">
        <v>3378</v>
      </c>
      <c r="B85" s="4" t="s">
        <v>1496</v>
      </c>
      <c r="C85" t="s">
        <v>3298</v>
      </c>
      <c r="D85">
        <v>9</v>
      </c>
      <c r="E85" s="9">
        <v>135</v>
      </c>
      <c r="F85">
        <v>3</v>
      </c>
    </row>
    <row r="86" spans="1:6" x14ac:dyDescent="0.35">
      <c r="A86" t="s">
        <v>3379</v>
      </c>
      <c r="B86" s="4" t="s">
        <v>1503</v>
      </c>
      <c r="C86" t="s">
        <v>3292</v>
      </c>
      <c r="D86">
        <v>8</v>
      </c>
      <c r="E86" s="9">
        <v>200</v>
      </c>
      <c r="F86">
        <v>1</v>
      </c>
    </row>
    <row r="87" spans="1:6" x14ac:dyDescent="0.35">
      <c r="A87" t="s">
        <v>3380</v>
      </c>
      <c r="B87" s="4" t="s">
        <v>1503</v>
      </c>
      <c r="C87" t="s">
        <v>3294</v>
      </c>
      <c r="D87">
        <v>6</v>
      </c>
      <c r="E87" s="9">
        <v>180</v>
      </c>
      <c r="F87">
        <v>1</v>
      </c>
    </row>
    <row r="88" spans="1:6" x14ac:dyDescent="0.35">
      <c r="A88" t="s">
        <v>3381</v>
      </c>
      <c r="B88" s="4" t="s">
        <v>1503</v>
      </c>
      <c r="C88" t="s">
        <v>3296</v>
      </c>
      <c r="D88">
        <v>51</v>
      </c>
      <c r="E88" s="9">
        <v>510</v>
      </c>
      <c r="F88">
        <v>2</v>
      </c>
    </row>
    <row r="89" spans="1:6" x14ac:dyDescent="0.35">
      <c r="A89" t="s">
        <v>3382</v>
      </c>
      <c r="B89" s="4" t="s">
        <v>1503</v>
      </c>
      <c r="C89" t="s">
        <v>3298</v>
      </c>
      <c r="D89">
        <v>8</v>
      </c>
      <c r="E89" s="9">
        <v>120</v>
      </c>
      <c r="F89">
        <v>3</v>
      </c>
    </row>
    <row r="90" spans="1:6" x14ac:dyDescent="0.35">
      <c r="A90" t="s">
        <v>3383</v>
      </c>
      <c r="B90" s="4" t="s">
        <v>1510</v>
      </c>
      <c r="C90" t="s">
        <v>3292</v>
      </c>
      <c r="D90">
        <v>10</v>
      </c>
      <c r="E90" s="9">
        <v>250</v>
      </c>
      <c r="F90">
        <v>1</v>
      </c>
    </row>
    <row r="91" spans="1:6" x14ac:dyDescent="0.35">
      <c r="A91" t="s">
        <v>3384</v>
      </c>
      <c r="B91" s="4" t="s">
        <v>1510</v>
      </c>
      <c r="C91" t="s">
        <v>3294</v>
      </c>
      <c r="D91">
        <v>7</v>
      </c>
      <c r="E91" s="9">
        <v>210</v>
      </c>
      <c r="F91">
        <v>1</v>
      </c>
    </row>
    <row r="92" spans="1:6" x14ac:dyDescent="0.35">
      <c r="A92" t="s">
        <v>3385</v>
      </c>
      <c r="B92" s="4" t="s">
        <v>1510</v>
      </c>
      <c r="C92" t="s">
        <v>3296</v>
      </c>
      <c r="D92">
        <v>48</v>
      </c>
      <c r="E92" s="9">
        <v>480</v>
      </c>
      <c r="F92">
        <v>2</v>
      </c>
    </row>
    <row r="93" spans="1:6" x14ac:dyDescent="0.35">
      <c r="A93" t="s">
        <v>3386</v>
      </c>
      <c r="B93" s="4" t="s">
        <v>1510</v>
      </c>
      <c r="C93" t="s">
        <v>3298</v>
      </c>
      <c r="D93">
        <v>8</v>
      </c>
      <c r="E93" s="9">
        <v>120</v>
      </c>
      <c r="F93">
        <v>3</v>
      </c>
    </row>
    <row r="94" spans="1:6" x14ac:dyDescent="0.35">
      <c r="A94" t="s">
        <v>3387</v>
      </c>
      <c r="B94" s="4" t="s">
        <v>1517</v>
      </c>
      <c r="C94" t="s">
        <v>3292</v>
      </c>
      <c r="D94">
        <v>12</v>
      </c>
      <c r="E94" s="9">
        <v>300</v>
      </c>
      <c r="F94">
        <v>1</v>
      </c>
    </row>
    <row r="95" spans="1:6" x14ac:dyDescent="0.35">
      <c r="A95" t="s">
        <v>3388</v>
      </c>
      <c r="B95" s="4" t="s">
        <v>1517</v>
      </c>
      <c r="C95" t="s">
        <v>3294</v>
      </c>
      <c r="D95">
        <v>8</v>
      </c>
      <c r="E95" s="9">
        <v>240</v>
      </c>
      <c r="F95">
        <v>1</v>
      </c>
    </row>
    <row r="96" spans="1:6" x14ac:dyDescent="0.35">
      <c r="A96" t="s">
        <v>3389</v>
      </c>
      <c r="B96" s="4" t="s">
        <v>1517</v>
      </c>
      <c r="C96" t="s">
        <v>3296</v>
      </c>
      <c r="D96">
        <v>51</v>
      </c>
      <c r="E96" s="9">
        <v>510</v>
      </c>
      <c r="F96">
        <v>2</v>
      </c>
    </row>
    <row r="97" spans="1:6" x14ac:dyDescent="0.35">
      <c r="A97" t="s">
        <v>3390</v>
      </c>
      <c r="B97" s="4" t="s">
        <v>1517</v>
      </c>
      <c r="C97" t="s">
        <v>3298</v>
      </c>
      <c r="D97">
        <v>12</v>
      </c>
      <c r="E97" s="9">
        <v>180</v>
      </c>
      <c r="F97">
        <v>3</v>
      </c>
    </row>
    <row r="98" spans="1:6" x14ac:dyDescent="0.35">
      <c r="A98" t="s">
        <v>3391</v>
      </c>
      <c r="B98" s="4" t="s">
        <v>1524</v>
      </c>
      <c r="C98" t="s">
        <v>3292</v>
      </c>
      <c r="D98">
        <v>13</v>
      </c>
      <c r="E98" s="9">
        <v>325</v>
      </c>
      <c r="F98">
        <v>1</v>
      </c>
    </row>
    <row r="99" spans="1:6" x14ac:dyDescent="0.35">
      <c r="A99" t="s">
        <v>3392</v>
      </c>
      <c r="B99" s="4" t="s">
        <v>1524</v>
      </c>
      <c r="C99" t="s">
        <v>3294</v>
      </c>
      <c r="D99">
        <v>8</v>
      </c>
      <c r="E99" s="9">
        <v>240</v>
      </c>
      <c r="F99">
        <v>1</v>
      </c>
    </row>
    <row r="100" spans="1:6" x14ac:dyDescent="0.35">
      <c r="A100" t="s">
        <v>3393</v>
      </c>
      <c r="B100" s="4" t="s">
        <v>1524</v>
      </c>
      <c r="C100" t="s">
        <v>3296</v>
      </c>
      <c r="D100">
        <v>55</v>
      </c>
      <c r="E100" s="9">
        <v>550</v>
      </c>
      <c r="F100">
        <v>2</v>
      </c>
    </row>
    <row r="101" spans="1:6" x14ac:dyDescent="0.35">
      <c r="A101" t="s">
        <v>3394</v>
      </c>
      <c r="B101" s="4" t="s">
        <v>1524</v>
      </c>
      <c r="C101" t="s">
        <v>3298</v>
      </c>
      <c r="D101">
        <v>9</v>
      </c>
      <c r="E101" s="9">
        <v>135</v>
      </c>
      <c r="F101">
        <v>3</v>
      </c>
    </row>
    <row r="102" spans="1:6" x14ac:dyDescent="0.35">
      <c r="A102" t="s">
        <v>3395</v>
      </c>
      <c r="B102" s="4" t="s">
        <v>282</v>
      </c>
      <c r="C102" t="s">
        <v>3292</v>
      </c>
      <c r="D102">
        <v>12</v>
      </c>
      <c r="E102" s="9">
        <v>300</v>
      </c>
      <c r="F102">
        <v>1</v>
      </c>
    </row>
    <row r="103" spans="1:6" x14ac:dyDescent="0.35">
      <c r="A103" t="s">
        <v>3396</v>
      </c>
      <c r="B103" s="4" t="s">
        <v>282</v>
      </c>
      <c r="C103" t="s">
        <v>3294</v>
      </c>
      <c r="D103">
        <v>11</v>
      </c>
      <c r="E103" s="9">
        <v>330</v>
      </c>
      <c r="F103">
        <v>1</v>
      </c>
    </row>
    <row r="104" spans="1:6" x14ac:dyDescent="0.35">
      <c r="A104" t="s">
        <v>3397</v>
      </c>
      <c r="B104" s="4" t="s">
        <v>282</v>
      </c>
      <c r="C104" t="s">
        <v>3296</v>
      </c>
      <c r="D104">
        <v>46</v>
      </c>
      <c r="E104" s="9">
        <v>460</v>
      </c>
      <c r="F104">
        <v>2</v>
      </c>
    </row>
    <row r="105" spans="1:6" x14ac:dyDescent="0.35">
      <c r="A105" t="s">
        <v>3398</v>
      </c>
      <c r="B105" s="4" t="s">
        <v>282</v>
      </c>
      <c r="C105" t="s">
        <v>3298</v>
      </c>
      <c r="D105">
        <v>10</v>
      </c>
      <c r="E105" s="9">
        <v>150</v>
      </c>
      <c r="F105">
        <v>3</v>
      </c>
    </row>
    <row r="106" spans="1:6" x14ac:dyDescent="0.35">
      <c r="A106" t="s">
        <v>3399</v>
      </c>
      <c r="B106" s="4" t="s">
        <v>1551</v>
      </c>
      <c r="C106" t="s">
        <v>3292</v>
      </c>
      <c r="D106">
        <v>16</v>
      </c>
      <c r="E106" s="9">
        <v>400</v>
      </c>
      <c r="F106">
        <v>1</v>
      </c>
    </row>
    <row r="107" spans="1:6" x14ac:dyDescent="0.35">
      <c r="A107" t="s">
        <v>3400</v>
      </c>
      <c r="B107" s="4" t="s">
        <v>1551</v>
      </c>
      <c r="C107" t="s">
        <v>3294</v>
      </c>
      <c r="D107">
        <v>11</v>
      </c>
      <c r="E107" s="9">
        <v>330</v>
      </c>
      <c r="F107">
        <v>1</v>
      </c>
    </row>
    <row r="108" spans="1:6" x14ac:dyDescent="0.35">
      <c r="A108" t="s">
        <v>3401</v>
      </c>
      <c r="B108" s="4" t="s">
        <v>1551</v>
      </c>
      <c r="C108" t="s">
        <v>3296</v>
      </c>
      <c r="D108">
        <v>57</v>
      </c>
      <c r="E108" s="9">
        <v>570</v>
      </c>
      <c r="F108">
        <v>2</v>
      </c>
    </row>
    <row r="109" spans="1:6" x14ac:dyDescent="0.35">
      <c r="A109" t="s">
        <v>3402</v>
      </c>
      <c r="B109" s="4" t="s">
        <v>1551</v>
      </c>
      <c r="C109" t="s">
        <v>3298</v>
      </c>
      <c r="D109">
        <v>12</v>
      </c>
      <c r="E109" s="9">
        <v>180</v>
      </c>
      <c r="F109">
        <v>3</v>
      </c>
    </row>
    <row r="110" spans="1:6" x14ac:dyDescent="0.35">
      <c r="A110" t="s">
        <v>3403</v>
      </c>
      <c r="B110" s="4" t="s">
        <v>1558</v>
      </c>
      <c r="C110" t="s">
        <v>3292</v>
      </c>
      <c r="D110">
        <v>12</v>
      </c>
      <c r="E110" s="9">
        <v>300</v>
      </c>
      <c r="F110">
        <v>1</v>
      </c>
    </row>
    <row r="111" spans="1:6" x14ac:dyDescent="0.35">
      <c r="A111" t="s">
        <v>3404</v>
      </c>
      <c r="B111" s="4" t="s">
        <v>1558</v>
      </c>
      <c r="C111" t="s">
        <v>3294</v>
      </c>
      <c r="D111">
        <v>11</v>
      </c>
      <c r="E111" s="9">
        <v>330</v>
      </c>
      <c r="F111">
        <v>1</v>
      </c>
    </row>
    <row r="112" spans="1:6" x14ac:dyDescent="0.35">
      <c r="A112" t="s">
        <v>3405</v>
      </c>
      <c r="B112" s="4" t="s">
        <v>1558</v>
      </c>
      <c r="C112" t="s">
        <v>3296</v>
      </c>
      <c r="D112">
        <v>58</v>
      </c>
      <c r="E112" s="9">
        <v>580</v>
      </c>
      <c r="F112">
        <v>2</v>
      </c>
    </row>
    <row r="113" spans="1:6" x14ac:dyDescent="0.35">
      <c r="A113" t="s">
        <v>3406</v>
      </c>
      <c r="B113" s="4" t="s">
        <v>1558</v>
      </c>
      <c r="C113" t="s">
        <v>3298</v>
      </c>
      <c r="D113">
        <v>10</v>
      </c>
      <c r="E113" s="9">
        <v>150</v>
      </c>
      <c r="F113">
        <v>3</v>
      </c>
    </row>
    <row r="114" spans="1:6" x14ac:dyDescent="0.35">
      <c r="A114" t="s">
        <v>3407</v>
      </c>
      <c r="B114" s="4" t="s">
        <v>1565</v>
      </c>
      <c r="C114" t="s">
        <v>3292</v>
      </c>
      <c r="D114">
        <v>14</v>
      </c>
      <c r="E114" s="9">
        <v>350</v>
      </c>
      <c r="F114">
        <v>1</v>
      </c>
    </row>
    <row r="115" spans="1:6" x14ac:dyDescent="0.35">
      <c r="A115" t="s">
        <v>3408</v>
      </c>
      <c r="B115" s="4" t="s">
        <v>1565</v>
      </c>
      <c r="C115" t="s">
        <v>3294</v>
      </c>
      <c r="D115">
        <v>9</v>
      </c>
      <c r="E115" s="9">
        <v>270</v>
      </c>
      <c r="F115">
        <v>1</v>
      </c>
    </row>
    <row r="116" spans="1:6" x14ac:dyDescent="0.35">
      <c r="A116" t="s">
        <v>3409</v>
      </c>
      <c r="B116" s="4" t="s">
        <v>1565</v>
      </c>
      <c r="C116" t="s">
        <v>3296</v>
      </c>
      <c r="D116">
        <v>50</v>
      </c>
      <c r="E116" s="9">
        <v>500</v>
      </c>
      <c r="F116">
        <v>2</v>
      </c>
    </row>
    <row r="117" spans="1:6" x14ac:dyDescent="0.35">
      <c r="A117" t="s">
        <v>3410</v>
      </c>
      <c r="B117" s="4" t="s">
        <v>1565</v>
      </c>
      <c r="C117" t="s">
        <v>3298</v>
      </c>
      <c r="D117">
        <v>11</v>
      </c>
      <c r="E117" s="9">
        <v>165</v>
      </c>
      <c r="F117">
        <v>3</v>
      </c>
    </row>
    <row r="118" spans="1:6" x14ac:dyDescent="0.35">
      <c r="A118" t="s">
        <v>3411</v>
      </c>
      <c r="B118" s="4" t="s">
        <v>1572</v>
      </c>
      <c r="C118" t="s">
        <v>3292</v>
      </c>
      <c r="D118">
        <v>14</v>
      </c>
      <c r="E118" s="9">
        <v>350</v>
      </c>
      <c r="F118">
        <v>1</v>
      </c>
    </row>
    <row r="119" spans="1:6" x14ac:dyDescent="0.35">
      <c r="A119" t="s">
        <v>3412</v>
      </c>
      <c r="B119" s="4" t="s">
        <v>1572</v>
      </c>
      <c r="C119" t="s">
        <v>3294</v>
      </c>
      <c r="D119">
        <v>11</v>
      </c>
      <c r="E119" s="9">
        <v>330</v>
      </c>
      <c r="F119">
        <v>1</v>
      </c>
    </row>
    <row r="120" spans="1:6" x14ac:dyDescent="0.35">
      <c r="A120" t="s">
        <v>3413</v>
      </c>
      <c r="B120" s="4" t="s">
        <v>1572</v>
      </c>
      <c r="C120" t="s">
        <v>3296</v>
      </c>
      <c r="D120">
        <v>49</v>
      </c>
      <c r="E120" s="9">
        <v>490</v>
      </c>
      <c r="F120">
        <v>2</v>
      </c>
    </row>
    <row r="121" spans="1:6" x14ac:dyDescent="0.35">
      <c r="A121" t="s">
        <v>3414</v>
      </c>
      <c r="B121" s="4" t="s">
        <v>1572</v>
      </c>
      <c r="C121" t="s">
        <v>3298</v>
      </c>
      <c r="D121">
        <v>9</v>
      </c>
      <c r="E121" s="9">
        <v>135</v>
      </c>
      <c r="F121">
        <v>3</v>
      </c>
    </row>
    <row r="122" spans="1:6" x14ac:dyDescent="0.35">
      <c r="A122" t="s">
        <v>3415</v>
      </c>
      <c r="B122" s="4" t="s">
        <v>1593</v>
      </c>
      <c r="C122" t="s">
        <v>3292</v>
      </c>
      <c r="D122">
        <v>16</v>
      </c>
      <c r="E122" s="9">
        <v>400</v>
      </c>
      <c r="F122">
        <v>1</v>
      </c>
    </row>
    <row r="123" spans="1:6" x14ac:dyDescent="0.35">
      <c r="A123" t="s">
        <v>3416</v>
      </c>
      <c r="B123" s="4" t="s">
        <v>1593</v>
      </c>
      <c r="C123" t="s">
        <v>3294</v>
      </c>
      <c r="D123">
        <v>12</v>
      </c>
      <c r="E123" s="9">
        <v>360</v>
      </c>
      <c r="F123">
        <v>1</v>
      </c>
    </row>
    <row r="124" spans="1:6" x14ac:dyDescent="0.35">
      <c r="A124" t="s">
        <v>3417</v>
      </c>
      <c r="B124" s="4" t="s">
        <v>1593</v>
      </c>
      <c r="C124" t="s">
        <v>3296</v>
      </c>
      <c r="D124">
        <v>52</v>
      </c>
      <c r="E124" s="9">
        <v>520</v>
      </c>
      <c r="F124">
        <v>2</v>
      </c>
    </row>
    <row r="125" spans="1:6" x14ac:dyDescent="0.35">
      <c r="A125" t="s">
        <v>3418</v>
      </c>
      <c r="B125" s="4" t="s">
        <v>1593</v>
      </c>
      <c r="C125" t="s">
        <v>3298</v>
      </c>
      <c r="D125">
        <v>11</v>
      </c>
      <c r="E125" s="9">
        <v>165</v>
      </c>
      <c r="F125">
        <v>3</v>
      </c>
    </row>
    <row r="126" spans="1:6" x14ac:dyDescent="0.35">
      <c r="A126" t="s">
        <v>3419</v>
      </c>
      <c r="B126" s="4" t="s">
        <v>1600</v>
      </c>
      <c r="C126" t="s">
        <v>3292</v>
      </c>
      <c r="D126">
        <v>15</v>
      </c>
      <c r="E126" s="9">
        <v>375</v>
      </c>
      <c r="F126">
        <v>1</v>
      </c>
    </row>
    <row r="127" spans="1:6" x14ac:dyDescent="0.35">
      <c r="A127" t="s">
        <v>3420</v>
      </c>
      <c r="B127" s="4" t="s">
        <v>1600</v>
      </c>
      <c r="C127" t="s">
        <v>3294</v>
      </c>
      <c r="D127">
        <v>11</v>
      </c>
      <c r="E127" s="9">
        <v>330</v>
      </c>
      <c r="F127">
        <v>1</v>
      </c>
    </row>
    <row r="128" spans="1:6" x14ac:dyDescent="0.35">
      <c r="A128" t="s">
        <v>3421</v>
      </c>
      <c r="B128" s="4" t="s">
        <v>1600</v>
      </c>
      <c r="C128" t="s">
        <v>3296</v>
      </c>
      <c r="D128">
        <v>60</v>
      </c>
      <c r="E128" s="9">
        <v>600</v>
      </c>
      <c r="F128">
        <v>2</v>
      </c>
    </row>
    <row r="129" spans="1:6" x14ac:dyDescent="0.35">
      <c r="A129" t="s">
        <v>3422</v>
      </c>
      <c r="B129" s="4" t="s">
        <v>1600</v>
      </c>
      <c r="C129" t="s">
        <v>3298</v>
      </c>
      <c r="D129">
        <v>9</v>
      </c>
      <c r="E129" s="9">
        <v>135</v>
      </c>
      <c r="F129">
        <v>3</v>
      </c>
    </row>
    <row r="130" spans="1:6" x14ac:dyDescent="0.35">
      <c r="A130" t="s">
        <v>3423</v>
      </c>
      <c r="B130" s="4" t="s">
        <v>285</v>
      </c>
      <c r="C130" t="s">
        <v>3292</v>
      </c>
      <c r="D130">
        <v>12</v>
      </c>
      <c r="E130" s="9">
        <v>300</v>
      </c>
      <c r="F130">
        <v>1</v>
      </c>
    </row>
    <row r="131" spans="1:6" x14ac:dyDescent="0.35">
      <c r="A131" t="s">
        <v>3424</v>
      </c>
      <c r="B131" s="4" t="s">
        <v>285</v>
      </c>
      <c r="C131" t="s">
        <v>3294</v>
      </c>
      <c r="D131">
        <v>10</v>
      </c>
      <c r="E131" s="9">
        <v>300</v>
      </c>
      <c r="F131">
        <v>1</v>
      </c>
    </row>
    <row r="132" spans="1:6" x14ac:dyDescent="0.35">
      <c r="A132" t="s">
        <v>3425</v>
      </c>
      <c r="B132" s="4" t="s">
        <v>285</v>
      </c>
      <c r="C132" t="s">
        <v>3296</v>
      </c>
      <c r="D132">
        <v>57</v>
      </c>
      <c r="E132" s="9">
        <v>570</v>
      </c>
      <c r="F132">
        <v>2</v>
      </c>
    </row>
    <row r="133" spans="1:6" x14ac:dyDescent="0.35">
      <c r="A133" t="s">
        <v>3426</v>
      </c>
      <c r="B133" s="4" t="s">
        <v>285</v>
      </c>
      <c r="C133" t="s">
        <v>3298</v>
      </c>
      <c r="D133">
        <v>10</v>
      </c>
      <c r="E133" s="9">
        <v>150</v>
      </c>
      <c r="F133">
        <v>3</v>
      </c>
    </row>
    <row r="134" spans="1:6" x14ac:dyDescent="0.35">
      <c r="A134" t="s">
        <v>3427</v>
      </c>
      <c r="B134" s="4" t="s">
        <v>294</v>
      </c>
      <c r="C134" t="s">
        <v>3292</v>
      </c>
      <c r="D134">
        <v>15</v>
      </c>
      <c r="E134" s="9">
        <v>375</v>
      </c>
      <c r="F134">
        <v>1</v>
      </c>
    </row>
    <row r="135" spans="1:6" x14ac:dyDescent="0.35">
      <c r="A135" t="s">
        <v>3428</v>
      </c>
      <c r="B135" s="4" t="s">
        <v>294</v>
      </c>
      <c r="C135" t="s">
        <v>3294</v>
      </c>
      <c r="D135">
        <v>9</v>
      </c>
      <c r="E135" s="9">
        <v>270</v>
      </c>
      <c r="F135">
        <v>1</v>
      </c>
    </row>
    <row r="136" spans="1:6" x14ac:dyDescent="0.35">
      <c r="A136" t="s">
        <v>3429</v>
      </c>
      <c r="B136" s="4" t="s">
        <v>294</v>
      </c>
      <c r="C136" t="s">
        <v>3296</v>
      </c>
      <c r="D136">
        <v>52</v>
      </c>
      <c r="E136" s="9">
        <v>520</v>
      </c>
      <c r="F136">
        <v>2</v>
      </c>
    </row>
    <row r="137" spans="1:6" x14ac:dyDescent="0.35">
      <c r="A137" t="s">
        <v>3430</v>
      </c>
      <c r="B137" s="4" t="s">
        <v>294</v>
      </c>
      <c r="C137" t="s">
        <v>3298</v>
      </c>
      <c r="D137">
        <v>13</v>
      </c>
      <c r="E137" s="9">
        <v>195</v>
      </c>
      <c r="F137">
        <v>3</v>
      </c>
    </row>
    <row r="138" spans="1:6" x14ac:dyDescent="0.35">
      <c r="A138" t="s">
        <v>3431</v>
      </c>
      <c r="B138" s="4" t="s">
        <v>299</v>
      </c>
      <c r="C138" t="s">
        <v>3292</v>
      </c>
      <c r="D138">
        <v>12</v>
      </c>
      <c r="E138" s="9">
        <v>300</v>
      </c>
      <c r="F138">
        <v>1</v>
      </c>
    </row>
    <row r="139" spans="1:6" x14ac:dyDescent="0.35">
      <c r="A139" t="s">
        <v>3432</v>
      </c>
      <c r="B139" s="4" t="s">
        <v>299</v>
      </c>
      <c r="C139" t="s">
        <v>3294</v>
      </c>
      <c r="D139">
        <v>11</v>
      </c>
      <c r="E139" s="9">
        <v>330</v>
      </c>
      <c r="F139">
        <v>1</v>
      </c>
    </row>
    <row r="140" spans="1:6" x14ac:dyDescent="0.35">
      <c r="A140" t="s">
        <v>3433</v>
      </c>
      <c r="B140" s="4" t="s">
        <v>299</v>
      </c>
      <c r="C140" t="s">
        <v>3296</v>
      </c>
      <c r="D140">
        <v>56</v>
      </c>
      <c r="E140" s="9">
        <v>560</v>
      </c>
      <c r="F140">
        <v>2</v>
      </c>
    </row>
    <row r="141" spans="1:6" x14ac:dyDescent="0.35">
      <c r="A141" t="s">
        <v>3434</v>
      </c>
      <c r="B141" s="4" t="s">
        <v>299</v>
      </c>
      <c r="C141" t="s">
        <v>3298</v>
      </c>
      <c r="D141">
        <v>12</v>
      </c>
      <c r="E141" s="9">
        <v>180</v>
      </c>
      <c r="F141">
        <v>3</v>
      </c>
    </row>
    <row r="142" spans="1:6" x14ac:dyDescent="0.35">
      <c r="A142" t="s">
        <v>3435</v>
      </c>
      <c r="B142" s="4" t="s">
        <v>1638</v>
      </c>
      <c r="C142" t="s">
        <v>3292</v>
      </c>
      <c r="D142">
        <v>16</v>
      </c>
      <c r="E142" s="9">
        <v>400</v>
      </c>
      <c r="F142">
        <v>1</v>
      </c>
    </row>
    <row r="143" spans="1:6" x14ac:dyDescent="0.35">
      <c r="A143" t="s">
        <v>3436</v>
      </c>
      <c r="B143" s="4" t="s">
        <v>1638</v>
      </c>
      <c r="C143" t="s">
        <v>3294</v>
      </c>
      <c r="D143">
        <v>11</v>
      </c>
      <c r="E143" s="9">
        <v>330</v>
      </c>
      <c r="F143">
        <v>1</v>
      </c>
    </row>
    <row r="144" spans="1:6" x14ac:dyDescent="0.35">
      <c r="A144" t="s">
        <v>3437</v>
      </c>
      <c r="B144" s="4" t="s">
        <v>1638</v>
      </c>
      <c r="C144" t="s">
        <v>3296</v>
      </c>
      <c r="D144">
        <v>56</v>
      </c>
      <c r="E144" s="9">
        <v>560</v>
      </c>
      <c r="F144">
        <v>2</v>
      </c>
    </row>
    <row r="145" spans="1:6" x14ac:dyDescent="0.35">
      <c r="A145" t="s">
        <v>3438</v>
      </c>
      <c r="B145" s="4" t="s">
        <v>1638</v>
      </c>
      <c r="C145" t="s">
        <v>3298</v>
      </c>
      <c r="D145">
        <v>13</v>
      </c>
      <c r="E145" s="9">
        <v>195</v>
      </c>
      <c r="F145">
        <v>3</v>
      </c>
    </row>
    <row r="146" spans="1:6" x14ac:dyDescent="0.35">
      <c r="A146" t="s">
        <v>3439</v>
      </c>
      <c r="B146" s="4" t="s">
        <v>1645</v>
      </c>
      <c r="C146" t="s">
        <v>3292</v>
      </c>
      <c r="D146">
        <v>16</v>
      </c>
      <c r="E146" s="9">
        <v>400</v>
      </c>
      <c r="F146">
        <v>1</v>
      </c>
    </row>
    <row r="147" spans="1:6" x14ac:dyDescent="0.35">
      <c r="A147" t="s">
        <v>3440</v>
      </c>
      <c r="B147" s="4" t="s">
        <v>1645</v>
      </c>
      <c r="C147" t="s">
        <v>3294</v>
      </c>
      <c r="D147">
        <v>10</v>
      </c>
      <c r="E147" s="9">
        <v>300</v>
      </c>
      <c r="F147">
        <v>1</v>
      </c>
    </row>
    <row r="148" spans="1:6" x14ac:dyDescent="0.35">
      <c r="A148" t="s">
        <v>3441</v>
      </c>
      <c r="B148" s="4" t="s">
        <v>1645</v>
      </c>
      <c r="C148" t="s">
        <v>3296</v>
      </c>
      <c r="D148">
        <v>57</v>
      </c>
      <c r="E148" s="9">
        <v>570</v>
      </c>
      <c r="F148">
        <v>2</v>
      </c>
    </row>
    <row r="149" spans="1:6" x14ac:dyDescent="0.35">
      <c r="A149" t="s">
        <v>3442</v>
      </c>
      <c r="B149" s="4" t="s">
        <v>1645</v>
      </c>
      <c r="C149" t="s">
        <v>3298</v>
      </c>
      <c r="D149">
        <v>11</v>
      </c>
      <c r="E149" s="9">
        <v>165</v>
      </c>
      <c r="F149">
        <v>3</v>
      </c>
    </row>
    <row r="150" spans="1:6" x14ac:dyDescent="0.35">
      <c r="A150" t="s">
        <v>3443</v>
      </c>
      <c r="B150" s="4" t="s">
        <v>1652</v>
      </c>
      <c r="C150" t="s">
        <v>3292</v>
      </c>
      <c r="D150">
        <v>13</v>
      </c>
      <c r="E150" s="9">
        <v>325</v>
      </c>
      <c r="F150">
        <v>1</v>
      </c>
    </row>
    <row r="151" spans="1:6" x14ac:dyDescent="0.35">
      <c r="A151" t="s">
        <v>3444</v>
      </c>
      <c r="B151" s="4" t="s">
        <v>1652</v>
      </c>
      <c r="C151" t="s">
        <v>3294</v>
      </c>
      <c r="D151">
        <v>8</v>
      </c>
      <c r="E151" s="9">
        <v>240</v>
      </c>
      <c r="F151">
        <v>1</v>
      </c>
    </row>
    <row r="152" spans="1:6" x14ac:dyDescent="0.35">
      <c r="A152" t="s">
        <v>3445</v>
      </c>
      <c r="B152" s="4" t="s">
        <v>1652</v>
      </c>
      <c r="C152" t="s">
        <v>3296</v>
      </c>
      <c r="D152">
        <v>55</v>
      </c>
      <c r="E152" s="9">
        <v>550</v>
      </c>
      <c r="F152">
        <v>2</v>
      </c>
    </row>
    <row r="153" spans="1:6" x14ac:dyDescent="0.35">
      <c r="A153" t="s">
        <v>3446</v>
      </c>
      <c r="B153" s="4" t="s">
        <v>1652</v>
      </c>
      <c r="C153" t="s">
        <v>3298</v>
      </c>
      <c r="D153">
        <v>13</v>
      </c>
      <c r="E153" s="9">
        <v>195</v>
      </c>
      <c r="F153">
        <v>3</v>
      </c>
    </row>
    <row r="154" spans="1:6" x14ac:dyDescent="0.35">
      <c r="A154" t="s">
        <v>3447</v>
      </c>
      <c r="B154" s="4" t="s">
        <v>1659</v>
      </c>
      <c r="C154" t="s">
        <v>3292</v>
      </c>
      <c r="D154">
        <v>13</v>
      </c>
      <c r="E154" s="9">
        <v>325</v>
      </c>
      <c r="F154">
        <v>1</v>
      </c>
    </row>
    <row r="155" spans="1:6" x14ac:dyDescent="0.35">
      <c r="A155" t="s">
        <v>3448</v>
      </c>
      <c r="B155" s="4" t="s">
        <v>1659</v>
      </c>
      <c r="C155" t="s">
        <v>3294</v>
      </c>
      <c r="D155">
        <v>8</v>
      </c>
      <c r="E155" s="9">
        <v>240</v>
      </c>
      <c r="F155">
        <v>1</v>
      </c>
    </row>
    <row r="156" spans="1:6" x14ac:dyDescent="0.35">
      <c r="A156" t="s">
        <v>3449</v>
      </c>
      <c r="B156" s="4" t="s">
        <v>1659</v>
      </c>
      <c r="C156" t="s">
        <v>3296</v>
      </c>
      <c r="D156">
        <v>53</v>
      </c>
      <c r="E156" s="9">
        <v>530</v>
      </c>
      <c r="F156">
        <v>2</v>
      </c>
    </row>
    <row r="157" spans="1:6" x14ac:dyDescent="0.35">
      <c r="A157" t="s">
        <v>3450</v>
      </c>
      <c r="B157" s="4" t="s">
        <v>1659</v>
      </c>
      <c r="C157" t="s">
        <v>3298</v>
      </c>
      <c r="D157">
        <v>9</v>
      </c>
      <c r="E157" s="9">
        <v>135</v>
      </c>
      <c r="F157">
        <v>3</v>
      </c>
    </row>
    <row r="158" spans="1:6" x14ac:dyDescent="0.35">
      <c r="A158" t="s">
        <v>3451</v>
      </c>
      <c r="B158" s="4" t="s">
        <v>1666</v>
      </c>
      <c r="C158" t="s">
        <v>3292</v>
      </c>
      <c r="D158">
        <v>15</v>
      </c>
      <c r="E158" s="9">
        <v>375</v>
      </c>
      <c r="F158">
        <v>1</v>
      </c>
    </row>
    <row r="159" spans="1:6" x14ac:dyDescent="0.35">
      <c r="A159" t="s">
        <v>3452</v>
      </c>
      <c r="B159" s="4" t="s">
        <v>1666</v>
      </c>
      <c r="C159" t="s">
        <v>3294</v>
      </c>
      <c r="D159">
        <v>12</v>
      </c>
      <c r="E159" s="9">
        <v>360</v>
      </c>
      <c r="F159">
        <v>1</v>
      </c>
    </row>
    <row r="160" spans="1:6" x14ac:dyDescent="0.35">
      <c r="A160" t="s">
        <v>3453</v>
      </c>
      <c r="B160" s="4" t="s">
        <v>1666</v>
      </c>
      <c r="C160" t="s">
        <v>3296</v>
      </c>
      <c r="D160">
        <v>56</v>
      </c>
      <c r="E160" s="9">
        <v>560</v>
      </c>
      <c r="F160">
        <v>2</v>
      </c>
    </row>
    <row r="161" spans="1:6" x14ac:dyDescent="0.35">
      <c r="A161" t="s">
        <v>3454</v>
      </c>
      <c r="B161" s="4" t="s">
        <v>1666</v>
      </c>
      <c r="C161" t="s">
        <v>3298</v>
      </c>
      <c r="D161">
        <v>13</v>
      </c>
      <c r="E161" s="9">
        <v>195</v>
      </c>
      <c r="F161">
        <v>3</v>
      </c>
    </row>
    <row r="162" spans="1:6" x14ac:dyDescent="0.35">
      <c r="A162" t="s">
        <v>3455</v>
      </c>
      <c r="B162" s="4" t="s">
        <v>305</v>
      </c>
      <c r="C162" t="s">
        <v>3292</v>
      </c>
      <c r="D162">
        <v>13</v>
      </c>
      <c r="E162" s="9">
        <v>325</v>
      </c>
      <c r="F162">
        <v>1</v>
      </c>
    </row>
    <row r="163" spans="1:6" x14ac:dyDescent="0.35">
      <c r="A163" t="s">
        <v>3456</v>
      </c>
      <c r="B163" s="4" t="s">
        <v>305</v>
      </c>
      <c r="C163" t="s">
        <v>3294</v>
      </c>
      <c r="D163">
        <v>9</v>
      </c>
      <c r="E163" s="9">
        <v>270</v>
      </c>
      <c r="F163">
        <v>1</v>
      </c>
    </row>
    <row r="164" spans="1:6" x14ac:dyDescent="0.35">
      <c r="A164" t="s">
        <v>3457</v>
      </c>
      <c r="B164" s="4" t="s">
        <v>305</v>
      </c>
      <c r="C164" t="s">
        <v>3296</v>
      </c>
      <c r="D164">
        <v>48</v>
      </c>
      <c r="E164" s="9">
        <v>480</v>
      </c>
      <c r="F164">
        <v>2</v>
      </c>
    </row>
    <row r="165" spans="1:6" x14ac:dyDescent="0.35">
      <c r="A165" t="s">
        <v>3458</v>
      </c>
      <c r="B165" s="4" t="s">
        <v>305</v>
      </c>
      <c r="C165" t="s">
        <v>3298</v>
      </c>
      <c r="D165">
        <v>10</v>
      </c>
      <c r="E165" s="9">
        <v>150</v>
      </c>
      <c r="F165">
        <v>3</v>
      </c>
    </row>
    <row r="166" spans="1:6" x14ac:dyDescent="0.35">
      <c r="A166" t="s">
        <v>3459</v>
      </c>
      <c r="B166" s="4" t="s">
        <v>307</v>
      </c>
      <c r="C166" t="s">
        <v>3292</v>
      </c>
      <c r="D166">
        <v>13</v>
      </c>
      <c r="E166" s="9">
        <v>325</v>
      </c>
      <c r="F166">
        <v>1</v>
      </c>
    </row>
    <row r="167" spans="1:6" x14ac:dyDescent="0.35">
      <c r="A167" t="s">
        <v>3460</v>
      </c>
      <c r="B167" s="4" t="s">
        <v>307</v>
      </c>
      <c r="C167" t="s">
        <v>3294</v>
      </c>
      <c r="D167">
        <v>10</v>
      </c>
      <c r="E167" s="9">
        <v>300</v>
      </c>
      <c r="F167">
        <v>1</v>
      </c>
    </row>
    <row r="168" spans="1:6" x14ac:dyDescent="0.35">
      <c r="A168" t="s">
        <v>3461</v>
      </c>
      <c r="B168" s="4" t="s">
        <v>307</v>
      </c>
      <c r="C168" t="s">
        <v>3296</v>
      </c>
      <c r="D168">
        <v>46</v>
      </c>
      <c r="E168" s="9">
        <v>460</v>
      </c>
      <c r="F168">
        <v>2</v>
      </c>
    </row>
    <row r="169" spans="1:6" x14ac:dyDescent="0.35">
      <c r="A169" t="s">
        <v>3462</v>
      </c>
      <c r="B169" s="4" t="s">
        <v>307</v>
      </c>
      <c r="C169" t="s">
        <v>3298</v>
      </c>
      <c r="D169">
        <v>10</v>
      </c>
      <c r="E169" s="9">
        <v>150</v>
      </c>
      <c r="F169">
        <v>3</v>
      </c>
    </row>
    <row r="170" spans="1:6" x14ac:dyDescent="0.35">
      <c r="A170" t="s">
        <v>3463</v>
      </c>
      <c r="B170" s="4" t="s">
        <v>311</v>
      </c>
      <c r="C170" t="s">
        <v>3292</v>
      </c>
      <c r="D170">
        <v>16</v>
      </c>
      <c r="E170" s="9">
        <v>400</v>
      </c>
      <c r="F170">
        <v>1</v>
      </c>
    </row>
    <row r="171" spans="1:6" x14ac:dyDescent="0.35">
      <c r="A171" t="s">
        <v>3464</v>
      </c>
      <c r="B171" s="4" t="s">
        <v>311</v>
      </c>
      <c r="C171" t="s">
        <v>3294</v>
      </c>
      <c r="D171">
        <v>11</v>
      </c>
      <c r="E171" s="9">
        <v>330</v>
      </c>
      <c r="F171">
        <v>1</v>
      </c>
    </row>
    <row r="172" spans="1:6" x14ac:dyDescent="0.35">
      <c r="A172" t="s">
        <v>3465</v>
      </c>
      <c r="B172" s="4" t="s">
        <v>311</v>
      </c>
      <c r="C172" t="s">
        <v>3296</v>
      </c>
      <c r="D172">
        <v>56</v>
      </c>
      <c r="E172" s="9">
        <v>560</v>
      </c>
      <c r="F172">
        <v>2</v>
      </c>
    </row>
    <row r="173" spans="1:6" x14ac:dyDescent="0.35">
      <c r="A173" t="s">
        <v>3466</v>
      </c>
      <c r="B173" s="4" t="s">
        <v>311</v>
      </c>
      <c r="C173" t="s">
        <v>3298</v>
      </c>
      <c r="D173">
        <v>10</v>
      </c>
      <c r="E173" s="9">
        <v>150</v>
      </c>
      <c r="F173">
        <v>3</v>
      </c>
    </row>
    <row r="174" spans="1:6" x14ac:dyDescent="0.35">
      <c r="A174" t="s">
        <v>3467</v>
      </c>
      <c r="B174" s="4" t="s">
        <v>320</v>
      </c>
      <c r="C174" t="s">
        <v>3292</v>
      </c>
      <c r="D174">
        <v>13</v>
      </c>
      <c r="E174" s="9">
        <v>325</v>
      </c>
      <c r="F174">
        <v>1</v>
      </c>
    </row>
    <row r="175" spans="1:6" x14ac:dyDescent="0.35">
      <c r="A175" t="s">
        <v>3468</v>
      </c>
      <c r="B175" s="4" t="s">
        <v>320</v>
      </c>
      <c r="C175" t="s">
        <v>3294</v>
      </c>
      <c r="D175">
        <v>9</v>
      </c>
      <c r="E175" s="9">
        <v>270</v>
      </c>
      <c r="F175">
        <v>1</v>
      </c>
    </row>
    <row r="176" spans="1:6" x14ac:dyDescent="0.35">
      <c r="A176" t="s">
        <v>3469</v>
      </c>
      <c r="B176" s="4" t="s">
        <v>320</v>
      </c>
      <c r="C176" t="s">
        <v>3296</v>
      </c>
      <c r="D176">
        <v>55</v>
      </c>
      <c r="E176" s="9">
        <v>550</v>
      </c>
      <c r="F176">
        <v>2</v>
      </c>
    </row>
    <row r="177" spans="1:6" x14ac:dyDescent="0.35">
      <c r="A177" t="s">
        <v>3470</v>
      </c>
      <c r="B177" s="4" t="s">
        <v>320</v>
      </c>
      <c r="C177" t="s">
        <v>3298</v>
      </c>
      <c r="D177">
        <v>11</v>
      </c>
      <c r="E177" s="9">
        <v>165</v>
      </c>
      <c r="F177">
        <v>3</v>
      </c>
    </row>
    <row r="178" spans="1:6" x14ac:dyDescent="0.35">
      <c r="A178" t="s">
        <v>3471</v>
      </c>
      <c r="B178" s="4" t="s">
        <v>329</v>
      </c>
      <c r="C178" t="s">
        <v>3292</v>
      </c>
      <c r="D178">
        <v>16</v>
      </c>
      <c r="E178" s="9">
        <v>400</v>
      </c>
      <c r="F178">
        <v>1</v>
      </c>
    </row>
    <row r="179" spans="1:6" x14ac:dyDescent="0.35">
      <c r="A179" t="s">
        <v>3472</v>
      </c>
      <c r="B179" s="4" t="s">
        <v>329</v>
      </c>
      <c r="C179" t="s">
        <v>3294</v>
      </c>
      <c r="D179">
        <v>8</v>
      </c>
      <c r="E179" s="9">
        <v>240</v>
      </c>
      <c r="F179">
        <v>1</v>
      </c>
    </row>
    <row r="180" spans="1:6" x14ac:dyDescent="0.35">
      <c r="A180" t="s">
        <v>3473</v>
      </c>
      <c r="B180" s="4" t="s">
        <v>329</v>
      </c>
      <c r="C180" t="s">
        <v>3296</v>
      </c>
      <c r="D180">
        <v>56</v>
      </c>
      <c r="E180" s="9">
        <v>560</v>
      </c>
      <c r="F180">
        <v>2</v>
      </c>
    </row>
    <row r="181" spans="1:6" x14ac:dyDescent="0.35">
      <c r="A181" t="s">
        <v>3474</v>
      </c>
      <c r="B181" s="4" t="s">
        <v>329</v>
      </c>
      <c r="C181" t="s">
        <v>3298</v>
      </c>
      <c r="D181">
        <v>13</v>
      </c>
      <c r="E181" s="9">
        <v>195</v>
      </c>
      <c r="F181">
        <v>3</v>
      </c>
    </row>
    <row r="182" spans="1:6" x14ac:dyDescent="0.35">
      <c r="A182" t="s">
        <v>3475</v>
      </c>
      <c r="B182" s="4" t="s">
        <v>1729</v>
      </c>
      <c r="C182" t="s">
        <v>3292</v>
      </c>
      <c r="D182">
        <v>8</v>
      </c>
      <c r="E182" s="9">
        <v>200</v>
      </c>
      <c r="F182">
        <v>1</v>
      </c>
    </row>
    <row r="183" spans="1:6" x14ac:dyDescent="0.35">
      <c r="A183" t="s">
        <v>3476</v>
      </c>
      <c r="B183" s="4" t="s">
        <v>1729</v>
      </c>
      <c r="C183" t="s">
        <v>3296</v>
      </c>
      <c r="D183">
        <v>40</v>
      </c>
      <c r="E183" s="9">
        <v>400</v>
      </c>
      <c r="F183">
        <v>2</v>
      </c>
    </row>
    <row r="184" spans="1:6" x14ac:dyDescent="0.35">
      <c r="A184" t="s">
        <v>3477</v>
      </c>
      <c r="B184" s="4" t="s">
        <v>1729</v>
      </c>
      <c r="C184" t="s">
        <v>3298</v>
      </c>
      <c r="D184">
        <v>6</v>
      </c>
      <c r="E184" s="9">
        <v>90</v>
      </c>
      <c r="F184">
        <v>3</v>
      </c>
    </row>
    <row r="185" spans="1:6" x14ac:dyDescent="0.35">
      <c r="A185" t="s">
        <v>3478</v>
      </c>
      <c r="B185" s="4" t="s">
        <v>344</v>
      </c>
      <c r="C185" t="s">
        <v>3292</v>
      </c>
      <c r="D185">
        <v>4</v>
      </c>
      <c r="E185" s="9">
        <v>100</v>
      </c>
      <c r="F185">
        <v>1</v>
      </c>
    </row>
    <row r="186" spans="1:6" x14ac:dyDescent="0.35">
      <c r="A186" t="s">
        <v>3479</v>
      </c>
      <c r="B186" s="4" t="s">
        <v>344</v>
      </c>
      <c r="C186" t="s">
        <v>3294</v>
      </c>
      <c r="D186">
        <v>3</v>
      </c>
      <c r="E186" s="9">
        <v>90</v>
      </c>
      <c r="F186">
        <v>1</v>
      </c>
    </row>
    <row r="187" spans="1:6" x14ac:dyDescent="0.35">
      <c r="A187" t="s">
        <v>3480</v>
      </c>
      <c r="B187" s="4" t="s">
        <v>344</v>
      </c>
      <c r="C187" t="s">
        <v>3296</v>
      </c>
      <c r="D187">
        <v>32</v>
      </c>
      <c r="E187" s="9">
        <v>320</v>
      </c>
      <c r="F187">
        <v>2</v>
      </c>
    </row>
    <row r="188" spans="1:6" x14ac:dyDescent="0.35">
      <c r="A188" t="s">
        <v>3481</v>
      </c>
      <c r="B188" s="4" t="s">
        <v>344</v>
      </c>
      <c r="C188" t="s">
        <v>3298</v>
      </c>
      <c r="D188">
        <v>4</v>
      </c>
      <c r="E188" s="9">
        <v>60</v>
      </c>
      <c r="F188">
        <v>3</v>
      </c>
    </row>
    <row r="189" spans="1:6" x14ac:dyDescent="0.35">
      <c r="A189" t="s">
        <v>3482</v>
      </c>
      <c r="B189" s="4" t="s">
        <v>352</v>
      </c>
      <c r="C189" t="s">
        <v>3292</v>
      </c>
      <c r="D189">
        <v>4</v>
      </c>
      <c r="E189" s="9">
        <v>100</v>
      </c>
      <c r="F189">
        <v>1</v>
      </c>
    </row>
    <row r="190" spans="1:6" x14ac:dyDescent="0.35">
      <c r="A190" t="s">
        <v>3483</v>
      </c>
      <c r="B190" s="4" t="s">
        <v>352</v>
      </c>
      <c r="C190" t="s">
        <v>3294</v>
      </c>
      <c r="D190">
        <v>3</v>
      </c>
      <c r="E190" s="9">
        <v>90</v>
      </c>
      <c r="F190">
        <v>1</v>
      </c>
    </row>
    <row r="191" spans="1:6" x14ac:dyDescent="0.35">
      <c r="A191" t="s">
        <v>3484</v>
      </c>
      <c r="B191" s="4" t="s">
        <v>352</v>
      </c>
      <c r="C191" t="s">
        <v>3296</v>
      </c>
      <c r="D191">
        <v>29</v>
      </c>
      <c r="E191" s="9">
        <v>290</v>
      </c>
      <c r="F191">
        <v>2</v>
      </c>
    </row>
    <row r="192" spans="1:6" x14ac:dyDescent="0.35">
      <c r="A192" t="s">
        <v>3485</v>
      </c>
      <c r="B192" s="4" t="s">
        <v>352</v>
      </c>
      <c r="C192" t="s">
        <v>3298</v>
      </c>
      <c r="D192">
        <v>6</v>
      </c>
      <c r="E192" s="9">
        <v>90</v>
      </c>
      <c r="F192">
        <v>3</v>
      </c>
    </row>
    <row r="193" spans="1:6" x14ac:dyDescent="0.35">
      <c r="A193" t="s">
        <v>3486</v>
      </c>
      <c r="B193" s="4" t="s">
        <v>1747</v>
      </c>
      <c r="C193" t="s">
        <v>3296</v>
      </c>
      <c r="D193">
        <v>35</v>
      </c>
      <c r="E193" s="9">
        <v>350</v>
      </c>
      <c r="F193">
        <v>2</v>
      </c>
    </row>
    <row r="194" spans="1:6" x14ac:dyDescent="0.35">
      <c r="A194" t="s">
        <v>3487</v>
      </c>
      <c r="B194" s="4" t="s">
        <v>1747</v>
      </c>
      <c r="C194" t="s">
        <v>3298</v>
      </c>
      <c r="D194">
        <v>4</v>
      </c>
      <c r="E194" s="9">
        <v>60</v>
      </c>
      <c r="F194">
        <v>3</v>
      </c>
    </row>
    <row r="195" spans="1:6" x14ac:dyDescent="0.35">
      <c r="A195" t="s">
        <v>3488</v>
      </c>
      <c r="B195" s="4" t="s">
        <v>355</v>
      </c>
      <c r="C195" t="s">
        <v>3292</v>
      </c>
      <c r="D195">
        <v>8</v>
      </c>
      <c r="E195" s="9">
        <v>200</v>
      </c>
      <c r="F195">
        <v>1</v>
      </c>
    </row>
    <row r="196" spans="1:6" x14ac:dyDescent="0.35">
      <c r="A196" t="s">
        <v>3489</v>
      </c>
      <c r="B196" s="4" t="s">
        <v>355</v>
      </c>
      <c r="C196" t="s">
        <v>3296</v>
      </c>
      <c r="D196">
        <v>29</v>
      </c>
      <c r="E196" s="9">
        <v>290</v>
      </c>
      <c r="F196">
        <v>2</v>
      </c>
    </row>
    <row r="197" spans="1:6" x14ac:dyDescent="0.35">
      <c r="A197" t="s">
        <v>3490</v>
      </c>
      <c r="B197" s="4" t="s">
        <v>355</v>
      </c>
      <c r="C197" t="s">
        <v>3298</v>
      </c>
      <c r="D197">
        <v>4</v>
      </c>
      <c r="E197" s="9">
        <v>60</v>
      </c>
      <c r="F197">
        <v>3</v>
      </c>
    </row>
    <row r="198" spans="1:6" x14ac:dyDescent="0.35">
      <c r="A198" t="s">
        <v>3491</v>
      </c>
      <c r="B198" s="4" t="s">
        <v>367</v>
      </c>
      <c r="C198" t="s">
        <v>3296</v>
      </c>
      <c r="D198">
        <v>27</v>
      </c>
      <c r="E198" s="9">
        <v>270</v>
      </c>
      <c r="F198">
        <v>2</v>
      </c>
    </row>
    <row r="199" spans="1:6" x14ac:dyDescent="0.35">
      <c r="A199" t="s">
        <v>3492</v>
      </c>
      <c r="B199" s="4" t="s">
        <v>367</v>
      </c>
      <c r="C199" t="s">
        <v>3298</v>
      </c>
      <c r="D199">
        <v>6</v>
      </c>
      <c r="E199" s="9">
        <v>90</v>
      </c>
      <c r="F199">
        <v>3</v>
      </c>
    </row>
    <row r="200" spans="1:6" x14ac:dyDescent="0.35">
      <c r="A200" t="s">
        <v>3493</v>
      </c>
      <c r="B200" s="4" t="s">
        <v>377</v>
      </c>
      <c r="C200" t="s">
        <v>3296</v>
      </c>
      <c r="D200">
        <v>28</v>
      </c>
      <c r="E200" s="9">
        <v>280</v>
      </c>
      <c r="F200">
        <v>2</v>
      </c>
    </row>
    <row r="201" spans="1:6" x14ac:dyDescent="0.35">
      <c r="A201" t="s">
        <v>3494</v>
      </c>
      <c r="B201" s="4" t="s">
        <v>377</v>
      </c>
      <c r="C201" t="s">
        <v>3298</v>
      </c>
      <c r="D201">
        <v>6</v>
      </c>
      <c r="E201" s="9">
        <v>90</v>
      </c>
      <c r="F201">
        <v>3</v>
      </c>
    </row>
    <row r="202" spans="1:6" x14ac:dyDescent="0.35">
      <c r="A202" t="s">
        <v>3495</v>
      </c>
      <c r="B202" s="4" t="s">
        <v>383</v>
      </c>
      <c r="C202" t="s">
        <v>3292</v>
      </c>
      <c r="D202">
        <v>5</v>
      </c>
      <c r="E202" s="9">
        <v>125</v>
      </c>
      <c r="F202">
        <v>1</v>
      </c>
    </row>
    <row r="203" spans="1:6" x14ac:dyDescent="0.35">
      <c r="A203" t="s">
        <v>3496</v>
      </c>
      <c r="B203" s="4" t="s">
        <v>383</v>
      </c>
      <c r="C203" t="s">
        <v>3296</v>
      </c>
      <c r="D203">
        <v>38</v>
      </c>
      <c r="E203" s="9">
        <v>380</v>
      </c>
      <c r="F203">
        <v>2</v>
      </c>
    </row>
    <row r="204" spans="1:6" x14ac:dyDescent="0.35">
      <c r="A204" t="s">
        <v>3497</v>
      </c>
      <c r="B204" s="4" t="s">
        <v>383</v>
      </c>
      <c r="C204" t="s">
        <v>3298</v>
      </c>
      <c r="D204">
        <v>7</v>
      </c>
      <c r="E204" s="9">
        <v>105</v>
      </c>
      <c r="F204">
        <v>3</v>
      </c>
    </row>
    <row r="205" spans="1:6" x14ac:dyDescent="0.35">
      <c r="A205" t="s">
        <v>3498</v>
      </c>
      <c r="B205" s="4" t="s">
        <v>388</v>
      </c>
      <c r="C205" t="s">
        <v>3292</v>
      </c>
      <c r="D205">
        <v>5</v>
      </c>
      <c r="E205" s="9">
        <v>125</v>
      </c>
      <c r="F205">
        <v>1</v>
      </c>
    </row>
    <row r="206" spans="1:6" x14ac:dyDescent="0.35">
      <c r="A206" t="s">
        <v>3499</v>
      </c>
      <c r="B206" s="4" t="s">
        <v>388</v>
      </c>
      <c r="C206" t="s">
        <v>3296</v>
      </c>
      <c r="D206">
        <v>36</v>
      </c>
      <c r="E206" s="9">
        <v>360</v>
      </c>
      <c r="F206">
        <v>2</v>
      </c>
    </row>
    <row r="207" spans="1:6" x14ac:dyDescent="0.35">
      <c r="A207" t="s">
        <v>3500</v>
      </c>
      <c r="B207" s="4" t="s">
        <v>388</v>
      </c>
      <c r="C207" t="s">
        <v>3298</v>
      </c>
      <c r="D207">
        <v>5</v>
      </c>
      <c r="E207" s="9">
        <v>75</v>
      </c>
      <c r="F207">
        <v>3</v>
      </c>
    </row>
    <row r="208" spans="1:6" x14ac:dyDescent="0.35">
      <c r="A208" t="s">
        <v>3501</v>
      </c>
      <c r="B208" s="4" t="s">
        <v>390</v>
      </c>
      <c r="C208" t="s">
        <v>3292</v>
      </c>
      <c r="D208">
        <v>5</v>
      </c>
      <c r="E208" s="9">
        <v>125</v>
      </c>
      <c r="F208">
        <v>1</v>
      </c>
    </row>
    <row r="209" spans="1:6" x14ac:dyDescent="0.35">
      <c r="A209" t="s">
        <v>3502</v>
      </c>
      <c r="B209" s="4" t="s">
        <v>390</v>
      </c>
      <c r="C209" t="s">
        <v>3294</v>
      </c>
      <c r="D209">
        <v>4</v>
      </c>
      <c r="E209" s="9">
        <v>120</v>
      </c>
      <c r="F209">
        <v>1</v>
      </c>
    </row>
    <row r="210" spans="1:6" x14ac:dyDescent="0.35">
      <c r="A210" t="s">
        <v>3503</v>
      </c>
      <c r="B210" s="4" t="s">
        <v>390</v>
      </c>
      <c r="C210" t="s">
        <v>3296</v>
      </c>
      <c r="D210">
        <v>29</v>
      </c>
      <c r="E210" s="9">
        <v>290</v>
      </c>
      <c r="F210">
        <v>2</v>
      </c>
    </row>
    <row r="211" spans="1:6" x14ac:dyDescent="0.35">
      <c r="A211" t="s">
        <v>3504</v>
      </c>
      <c r="B211" s="4" t="s">
        <v>390</v>
      </c>
      <c r="C211" t="s">
        <v>3298</v>
      </c>
      <c r="D211">
        <v>5</v>
      </c>
      <c r="E211" s="9">
        <v>75</v>
      </c>
      <c r="F211">
        <v>3</v>
      </c>
    </row>
    <row r="212" spans="1:6" x14ac:dyDescent="0.35">
      <c r="A212" t="s">
        <v>3505</v>
      </c>
      <c r="B212" s="4" t="s">
        <v>404</v>
      </c>
      <c r="C212" t="s">
        <v>3296</v>
      </c>
      <c r="D212">
        <v>37</v>
      </c>
      <c r="E212" s="9">
        <v>370</v>
      </c>
      <c r="F212">
        <v>2</v>
      </c>
    </row>
    <row r="213" spans="1:6" x14ac:dyDescent="0.35">
      <c r="A213" t="s">
        <v>3506</v>
      </c>
      <c r="B213" s="4" t="s">
        <v>404</v>
      </c>
      <c r="C213" t="s">
        <v>3298</v>
      </c>
      <c r="D213">
        <v>4</v>
      </c>
      <c r="E213" s="9">
        <v>60</v>
      </c>
      <c r="F213">
        <v>3</v>
      </c>
    </row>
    <row r="214" spans="1:6" x14ac:dyDescent="0.35">
      <c r="A214" t="s">
        <v>3507</v>
      </c>
      <c r="B214" s="4" t="s">
        <v>406</v>
      </c>
      <c r="C214" t="s">
        <v>3292</v>
      </c>
      <c r="D214">
        <v>6</v>
      </c>
      <c r="E214" s="9">
        <v>150</v>
      </c>
      <c r="F214">
        <v>1</v>
      </c>
    </row>
    <row r="215" spans="1:6" x14ac:dyDescent="0.35">
      <c r="A215" t="s">
        <v>3508</v>
      </c>
      <c r="B215" s="4" t="s">
        <v>406</v>
      </c>
      <c r="C215" t="s">
        <v>3296</v>
      </c>
      <c r="D215">
        <v>32</v>
      </c>
      <c r="E215" s="9">
        <v>320</v>
      </c>
      <c r="F215">
        <v>2</v>
      </c>
    </row>
    <row r="216" spans="1:6" x14ac:dyDescent="0.35">
      <c r="A216" t="s">
        <v>3509</v>
      </c>
      <c r="B216" s="4" t="s">
        <v>406</v>
      </c>
      <c r="C216" t="s">
        <v>3298</v>
      </c>
      <c r="D216">
        <v>4</v>
      </c>
      <c r="E216" s="9">
        <v>60</v>
      </c>
      <c r="F216">
        <v>3</v>
      </c>
    </row>
    <row r="217" spans="1:6" x14ac:dyDescent="0.35">
      <c r="A217" t="s">
        <v>3510</v>
      </c>
      <c r="B217" s="4" t="s">
        <v>412</v>
      </c>
      <c r="C217" t="s">
        <v>3294</v>
      </c>
      <c r="D217">
        <v>2</v>
      </c>
      <c r="E217" s="9">
        <v>60</v>
      </c>
      <c r="F217">
        <v>1</v>
      </c>
    </row>
    <row r="218" spans="1:6" x14ac:dyDescent="0.35">
      <c r="A218" t="s">
        <v>3511</v>
      </c>
      <c r="B218" s="4" t="s">
        <v>412</v>
      </c>
      <c r="C218" t="s">
        <v>3296</v>
      </c>
      <c r="D218">
        <v>32</v>
      </c>
      <c r="E218" s="9">
        <v>320</v>
      </c>
      <c r="F218">
        <v>2</v>
      </c>
    </row>
    <row r="219" spans="1:6" x14ac:dyDescent="0.35">
      <c r="A219" t="s">
        <v>3512</v>
      </c>
      <c r="B219" s="4" t="s">
        <v>412</v>
      </c>
      <c r="C219" t="s">
        <v>3298</v>
      </c>
      <c r="D219">
        <v>6</v>
      </c>
      <c r="E219" s="9">
        <v>90</v>
      </c>
      <c r="F219">
        <v>3</v>
      </c>
    </row>
    <row r="220" spans="1:6" x14ac:dyDescent="0.35">
      <c r="A220" t="s">
        <v>3513</v>
      </c>
      <c r="B220" s="4" t="s">
        <v>415</v>
      </c>
      <c r="C220" t="s">
        <v>3294</v>
      </c>
      <c r="D220">
        <v>2</v>
      </c>
      <c r="E220" s="9">
        <v>60</v>
      </c>
      <c r="F220">
        <v>1</v>
      </c>
    </row>
    <row r="221" spans="1:6" x14ac:dyDescent="0.35">
      <c r="A221" t="s">
        <v>3514</v>
      </c>
      <c r="B221" s="4" t="s">
        <v>415</v>
      </c>
      <c r="C221" t="s">
        <v>3296</v>
      </c>
      <c r="D221">
        <v>35</v>
      </c>
      <c r="E221" s="9">
        <v>350</v>
      </c>
      <c r="F221">
        <v>2</v>
      </c>
    </row>
    <row r="222" spans="1:6" x14ac:dyDescent="0.35">
      <c r="A222" t="s">
        <v>3515</v>
      </c>
      <c r="B222" s="4" t="s">
        <v>415</v>
      </c>
      <c r="C222" t="s">
        <v>3298</v>
      </c>
      <c r="D222">
        <v>7</v>
      </c>
      <c r="E222" s="9">
        <v>105</v>
      </c>
      <c r="F222">
        <v>3</v>
      </c>
    </row>
    <row r="223" spans="1:6" x14ac:dyDescent="0.35">
      <c r="A223" t="s">
        <v>3516</v>
      </c>
      <c r="B223" s="4" t="s">
        <v>1831</v>
      </c>
      <c r="C223" t="s">
        <v>3292</v>
      </c>
      <c r="D223">
        <v>5</v>
      </c>
      <c r="E223" s="9">
        <v>125</v>
      </c>
      <c r="F223">
        <v>1</v>
      </c>
    </row>
    <row r="224" spans="1:6" x14ac:dyDescent="0.35">
      <c r="A224" t="s">
        <v>3517</v>
      </c>
      <c r="B224" s="4" t="s">
        <v>1831</v>
      </c>
      <c r="C224" t="s">
        <v>3294</v>
      </c>
      <c r="D224">
        <v>2</v>
      </c>
      <c r="E224" s="9">
        <v>60</v>
      </c>
      <c r="F224">
        <v>1</v>
      </c>
    </row>
    <row r="225" spans="1:6" x14ac:dyDescent="0.35">
      <c r="A225" t="s">
        <v>3518</v>
      </c>
      <c r="B225" s="4" t="s">
        <v>1831</v>
      </c>
      <c r="C225" t="s">
        <v>3296</v>
      </c>
      <c r="D225">
        <v>36</v>
      </c>
      <c r="E225" s="9">
        <v>360</v>
      </c>
      <c r="F225">
        <v>2</v>
      </c>
    </row>
    <row r="226" spans="1:6" x14ac:dyDescent="0.35">
      <c r="A226" t="s">
        <v>3519</v>
      </c>
      <c r="B226" s="4" t="s">
        <v>1831</v>
      </c>
      <c r="C226" t="s">
        <v>3298</v>
      </c>
      <c r="D226">
        <v>6</v>
      </c>
      <c r="E226" s="9">
        <v>90</v>
      </c>
      <c r="F226">
        <v>3</v>
      </c>
    </row>
    <row r="227" spans="1:6" x14ac:dyDescent="0.35">
      <c r="A227" t="s">
        <v>3520</v>
      </c>
      <c r="B227" s="4" t="s">
        <v>417</v>
      </c>
      <c r="C227" t="s">
        <v>3296</v>
      </c>
      <c r="D227">
        <v>26</v>
      </c>
      <c r="E227" s="9">
        <v>260</v>
      </c>
      <c r="F227">
        <v>2</v>
      </c>
    </row>
    <row r="228" spans="1:6" x14ac:dyDescent="0.35">
      <c r="A228" t="s">
        <v>3521</v>
      </c>
      <c r="B228" s="4" t="s">
        <v>417</v>
      </c>
      <c r="C228" t="s">
        <v>3298</v>
      </c>
      <c r="D228">
        <v>7</v>
      </c>
      <c r="E228" s="9">
        <v>105</v>
      </c>
      <c r="F228">
        <v>3</v>
      </c>
    </row>
    <row r="229" spans="1:6" x14ac:dyDescent="0.35">
      <c r="A229" t="s">
        <v>3522</v>
      </c>
      <c r="B229" s="4" t="s">
        <v>420</v>
      </c>
      <c r="C229" t="s">
        <v>3292</v>
      </c>
      <c r="D229">
        <v>7</v>
      </c>
      <c r="E229" s="9">
        <v>175</v>
      </c>
      <c r="F229">
        <v>1</v>
      </c>
    </row>
    <row r="230" spans="1:6" x14ac:dyDescent="0.35">
      <c r="A230" t="s">
        <v>3523</v>
      </c>
      <c r="B230" s="4" t="s">
        <v>420</v>
      </c>
      <c r="C230" t="s">
        <v>3296</v>
      </c>
      <c r="D230">
        <v>38</v>
      </c>
      <c r="E230" s="9">
        <v>380</v>
      </c>
      <c r="F230">
        <v>2</v>
      </c>
    </row>
    <row r="231" spans="1:6" x14ac:dyDescent="0.35">
      <c r="A231" t="s">
        <v>3524</v>
      </c>
      <c r="B231" s="4" t="s">
        <v>420</v>
      </c>
      <c r="C231" t="s">
        <v>3298</v>
      </c>
      <c r="D231">
        <v>7</v>
      </c>
      <c r="E231" s="9">
        <v>105</v>
      </c>
      <c r="F231">
        <v>3</v>
      </c>
    </row>
    <row r="232" spans="1:6" x14ac:dyDescent="0.35">
      <c r="A232" t="s">
        <v>3525</v>
      </c>
      <c r="B232" s="4" t="s">
        <v>424</v>
      </c>
      <c r="C232" t="s">
        <v>3294</v>
      </c>
      <c r="D232">
        <v>5</v>
      </c>
      <c r="E232" s="9">
        <v>150</v>
      </c>
      <c r="F232">
        <v>1</v>
      </c>
    </row>
    <row r="233" spans="1:6" x14ac:dyDescent="0.35">
      <c r="A233" t="s">
        <v>3526</v>
      </c>
      <c r="B233" s="4" t="s">
        <v>424</v>
      </c>
      <c r="C233" t="s">
        <v>3296</v>
      </c>
      <c r="D233">
        <v>28</v>
      </c>
      <c r="E233" s="9">
        <v>280</v>
      </c>
      <c r="F233">
        <v>2</v>
      </c>
    </row>
    <row r="234" spans="1:6" x14ac:dyDescent="0.35">
      <c r="A234" t="s">
        <v>3527</v>
      </c>
      <c r="B234" s="4" t="s">
        <v>424</v>
      </c>
      <c r="C234" t="s">
        <v>3298</v>
      </c>
      <c r="D234">
        <v>7</v>
      </c>
      <c r="E234" s="9">
        <v>105</v>
      </c>
      <c r="F234">
        <v>3</v>
      </c>
    </row>
    <row r="235" spans="1:6" x14ac:dyDescent="0.35">
      <c r="A235" t="s">
        <v>3528</v>
      </c>
      <c r="B235" s="4" t="s">
        <v>428</v>
      </c>
      <c r="C235" t="s">
        <v>3294</v>
      </c>
      <c r="D235">
        <v>3</v>
      </c>
      <c r="E235" s="9">
        <v>90</v>
      </c>
      <c r="F235">
        <v>1</v>
      </c>
    </row>
    <row r="236" spans="1:6" x14ac:dyDescent="0.35">
      <c r="A236" t="s">
        <v>3529</v>
      </c>
      <c r="B236" s="4" t="s">
        <v>428</v>
      </c>
      <c r="C236" t="s">
        <v>3296</v>
      </c>
      <c r="D236">
        <v>30</v>
      </c>
      <c r="E236" s="9">
        <v>300</v>
      </c>
      <c r="F236">
        <v>2</v>
      </c>
    </row>
    <row r="237" spans="1:6" x14ac:dyDescent="0.35">
      <c r="A237" t="s">
        <v>3530</v>
      </c>
      <c r="B237" s="4" t="s">
        <v>428</v>
      </c>
      <c r="C237" t="s">
        <v>3298</v>
      </c>
      <c r="D237">
        <v>7</v>
      </c>
      <c r="E237" s="9">
        <v>105</v>
      </c>
      <c r="F237">
        <v>3</v>
      </c>
    </row>
    <row r="238" spans="1:6" x14ac:dyDescent="0.35">
      <c r="A238" t="s">
        <v>3531</v>
      </c>
      <c r="B238" s="4" t="s">
        <v>430</v>
      </c>
      <c r="C238" t="s">
        <v>3292</v>
      </c>
      <c r="D238">
        <v>4</v>
      </c>
      <c r="E238" s="9">
        <v>100</v>
      </c>
      <c r="F238">
        <v>1</v>
      </c>
    </row>
    <row r="239" spans="1:6" x14ac:dyDescent="0.35">
      <c r="A239" t="s">
        <v>3532</v>
      </c>
      <c r="B239" s="4" t="s">
        <v>430</v>
      </c>
      <c r="C239" t="s">
        <v>3294</v>
      </c>
      <c r="D239">
        <v>4</v>
      </c>
      <c r="E239" s="9">
        <v>120</v>
      </c>
      <c r="F239">
        <v>1</v>
      </c>
    </row>
    <row r="240" spans="1:6" x14ac:dyDescent="0.35">
      <c r="A240" t="s">
        <v>3533</v>
      </c>
      <c r="B240" s="4" t="s">
        <v>430</v>
      </c>
      <c r="C240" t="s">
        <v>3296</v>
      </c>
      <c r="D240">
        <v>33</v>
      </c>
      <c r="E240" s="9">
        <v>330</v>
      </c>
      <c r="F240">
        <v>2</v>
      </c>
    </row>
    <row r="241" spans="1:6" x14ac:dyDescent="0.35">
      <c r="A241" t="s">
        <v>3534</v>
      </c>
      <c r="B241" s="4" t="s">
        <v>430</v>
      </c>
      <c r="C241" t="s">
        <v>3298</v>
      </c>
      <c r="D241">
        <v>4</v>
      </c>
      <c r="E241" s="9">
        <v>60</v>
      </c>
      <c r="F241">
        <v>3</v>
      </c>
    </row>
    <row r="242" spans="1:6" x14ac:dyDescent="0.35">
      <c r="A242" t="s">
        <v>3535</v>
      </c>
      <c r="B242" s="4" t="s">
        <v>443</v>
      </c>
      <c r="C242" t="s">
        <v>3292</v>
      </c>
      <c r="D242">
        <v>5</v>
      </c>
      <c r="E242" s="9">
        <v>125</v>
      </c>
      <c r="F242">
        <v>1</v>
      </c>
    </row>
    <row r="243" spans="1:6" x14ac:dyDescent="0.35">
      <c r="A243" t="s">
        <v>3536</v>
      </c>
      <c r="B243" s="4" t="s">
        <v>443</v>
      </c>
      <c r="C243" t="s">
        <v>3296</v>
      </c>
      <c r="D243">
        <v>30</v>
      </c>
      <c r="E243" s="9">
        <v>300</v>
      </c>
      <c r="F243">
        <v>2</v>
      </c>
    </row>
    <row r="244" spans="1:6" x14ac:dyDescent="0.35">
      <c r="A244" t="s">
        <v>3537</v>
      </c>
      <c r="B244" s="4" t="s">
        <v>443</v>
      </c>
      <c r="C244" t="s">
        <v>3298</v>
      </c>
      <c r="D244">
        <v>4</v>
      </c>
      <c r="E244" s="9">
        <v>60</v>
      </c>
      <c r="F244">
        <v>3</v>
      </c>
    </row>
    <row r="245" spans="1:6" x14ac:dyDescent="0.35">
      <c r="A245" t="s">
        <v>3538</v>
      </c>
      <c r="B245" s="4" t="s">
        <v>448</v>
      </c>
      <c r="C245" t="s">
        <v>3292</v>
      </c>
      <c r="D245">
        <v>4</v>
      </c>
      <c r="E245" s="9">
        <v>100</v>
      </c>
      <c r="F245">
        <v>1</v>
      </c>
    </row>
    <row r="246" spans="1:6" x14ac:dyDescent="0.35">
      <c r="A246" t="s">
        <v>3539</v>
      </c>
      <c r="B246" s="4" t="s">
        <v>448</v>
      </c>
      <c r="C246" t="s">
        <v>3294</v>
      </c>
      <c r="D246">
        <v>5</v>
      </c>
      <c r="E246" s="9">
        <v>150</v>
      </c>
      <c r="F246">
        <v>1</v>
      </c>
    </row>
    <row r="247" spans="1:6" x14ac:dyDescent="0.35">
      <c r="A247" t="s">
        <v>3540</v>
      </c>
      <c r="B247" s="4" t="s">
        <v>448</v>
      </c>
      <c r="C247" t="s">
        <v>3296</v>
      </c>
      <c r="D247">
        <v>25</v>
      </c>
      <c r="E247" s="9">
        <v>250</v>
      </c>
      <c r="F247">
        <v>2</v>
      </c>
    </row>
    <row r="248" spans="1:6" x14ac:dyDescent="0.35">
      <c r="A248" t="s">
        <v>3541</v>
      </c>
      <c r="B248" s="4" t="s">
        <v>448</v>
      </c>
      <c r="C248" t="s">
        <v>3298</v>
      </c>
      <c r="D248">
        <v>7</v>
      </c>
      <c r="E248" s="9">
        <v>105</v>
      </c>
      <c r="F248">
        <v>3</v>
      </c>
    </row>
    <row r="249" spans="1:6" x14ac:dyDescent="0.35">
      <c r="A249" t="s">
        <v>3542</v>
      </c>
      <c r="B249" s="4" t="s">
        <v>454</v>
      </c>
      <c r="C249" t="s">
        <v>3294</v>
      </c>
      <c r="D249">
        <v>5</v>
      </c>
      <c r="E249" s="9">
        <v>150</v>
      </c>
      <c r="F249">
        <v>1</v>
      </c>
    </row>
    <row r="250" spans="1:6" x14ac:dyDescent="0.35">
      <c r="A250" t="s">
        <v>3543</v>
      </c>
      <c r="B250" s="4" t="s">
        <v>454</v>
      </c>
      <c r="C250" t="s">
        <v>3296</v>
      </c>
      <c r="D250">
        <v>30</v>
      </c>
      <c r="E250" s="9">
        <v>300</v>
      </c>
      <c r="F250">
        <v>2</v>
      </c>
    </row>
    <row r="251" spans="1:6" x14ac:dyDescent="0.35">
      <c r="A251" t="s">
        <v>3544</v>
      </c>
      <c r="B251" s="4" t="s">
        <v>454</v>
      </c>
      <c r="C251" t="s">
        <v>3298</v>
      </c>
      <c r="D251">
        <v>4</v>
      </c>
      <c r="E251" s="9">
        <v>60</v>
      </c>
      <c r="F251">
        <v>3</v>
      </c>
    </row>
    <row r="252" spans="1:6" x14ac:dyDescent="0.35">
      <c r="A252" t="s">
        <v>3545</v>
      </c>
      <c r="B252" s="4" t="s">
        <v>463</v>
      </c>
      <c r="C252" t="s">
        <v>3292</v>
      </c>
      <c r="D252">
        <v>5</v>
      </c>
      <c r="E252" s="9">
        <v>125</v>
      </c>
      <c r="F252">
        <v>1</v>
      </c>
    </row>
    <row r="253" spans="1:6" x14ac:dyDescent="0.35">
      <c r="A253" t="s">
        <v>3546</v>
      </c>
      <c r="B253" s="4" t="s">
        <v>463</v>
      </c>
      <c r="C253" t="s">
        <v>3296</v>
      </c>
      <c r="D253">
        <v>38</v>
      </c>
      <c r="E253" s="9">
        <v>380</v>
      </c>
      <c r="F253">
        <v>2</v>
      </c>
    </row>
    <row r="254" spans="1:6" x14ac:dyDescent="0.35">
      <c r="A254" t="s">
        <v>3547</v>
      </c>
      <c r="B254" s="4" t="s">
        <v>463</v>
      </c>
      <c r="C254" t="s">
        <v>3298</v>
      </c>
      <c r="D254">
        <v>6</v>
      </c>
      <c r="E254" s="9">
        <v>90</v>
      </c>
      <c r="F254">
        <v>3</v>
      </c>
    </row>
    <row r="255" spans="1:6" x14ac:dyDescent="0.35">
      <c r="A255" t="s">
        <v>3548</v>
      </c>
      <c r="B255" s="4" t="s">
        <v>474</v>
      </c>
      <c r="C255" t="s">
        <v>3292</v>
      </c>
      <c r="D255">
        <v>6</v>
      </c>
      <c r="E255" s="9">
        <v>150</v>
      </c>
      <c r="F255">
        <v>1</v>
      </c>
    </row>
    <row r="256" spans="1:6" x14ac:dyDescent="0.35">
      <c r="A256" t="s">
        <v>3549</v>
      </c>
      <c r="B256" s="4" t="s">
        <v>474</v>
      </c>
      <c r="C256" t="s">
        <v>3294</v>
      </c>
      <c r="D256">
        <v>2</v>
      </c>
      <c r="E256" s="9">
        <v>60</v>
      </c>
      <c r="F256">
        <v>1</v>
      </c>
    </row>
    <row r="257" spans="1:6" x14ac:dyDescent="0.35">
      <c r="A257" t="s">
        <v>3550</v>
      </c>
      <c r="B257" s="4" t="s">
        <v>474</v>
      </c>
      <c r="C257" t="s">
        <v>3296</v>
      </c>
      <c r="D257">
        <v>37</v>
      </c>
      <c r="E257" s="9">
        <v>370</v>
      </c>
      <c r="F257">
        <v>2</v>
      </c>
    </row>
    <row r="258" spans="1:6" x14ac:dyDescent="0.35">
      <c r="A258" t="s">
        <v>3551</v>
      </c>
      <c r="B258" s="4" t="s">
        <v>474</v>
      </c>
      <c r="C258" t="s">
        <v>3298</v>
      </c>
      <c r="D258">
        <v>7</v>
      </c>
      <c r="E258" s="9">
        <v>105</v>
      </c>
      <c r="F258">
        <v>3</v>
      </c>
    </row>
    <row r="259" spans="1:6" x14ac:dyDescent="0.35">
      <c r="A259" t="s">
        <v>3552</v>
      </c>
      <c r="B259" s="4" t="s">
        <v>479</v>
      </c>
      <c r="C259" t="s">
        <v>3292</v>
      </c>
      <c r="D259">
        <v>6</v>
      </c>
      <c r="E259" s="9">
        <v>150</v>
      </c>
      <c r="F259">
        <v>1</v>
      </c>
    </row>
    <row r="260" spans="1:6" x14ac:dyDescent="0.35">
      <c r="A260" t="s">
        <v>3553</v>
      </c>
      <c r="B260" s="4" t="s">
        <v>479</v>
      </c>
      <c r="C260" t="s">
        <v>3294</v>
      </c>
      <c r="D260">
        <v>2</v>
      </c>
      <c r="E260" s="9">
        <v>60</v>
      </c>
      <c r="F260">
        <v>1</v>
      </c>
    </row>
    <row r="261" spans="1:6" x14ac:dyDescent="0.35">
      <c r="A261" t="s">
        <v>3554</v>
      </c>
      <c r="B261" s="4" t="s">
        <v>479</v>
      </c>
      <c r="C261" t="s">
        <v>3296</v>
      </c>
      <c r="D261">
        <v>34</v>
      </c>
      <c r="E261" s="9">
        <v>340</v>
      </c>
      <c r="F261">
        <v>2</v>
      </c>
    </row>
    <row r="262" spans="1:6" x14ac:dyDescent="0.35">
      <c r="A262" t="s">
        <v>3555</v>
      </c>
      <c r="B262" s="4" t="s">
        <v>479</v>
      </c>
      <c r="C262" t="s">
        <v>3298</v>
      </c>
      <c r="D262">
        <v>7</v>
      </c>
      <c r="E262" s="9">
        <v>105</v>
      </c>
      <c r="F262">
        <v>3</v>
      </c>
    </row>
    <row r="263" spans="1:6" x14ac:dyDescent="0.35">
      <c r="A263" t="s">
        <v>3556</v>
      </c>
      <c r="B263" s="4" t="s">
        <v>489</v>
      </c>
      <c r="C263" t="s">
        <v>3292</v>
      </c>
      <c r="D263">
        <v>4</v>
      </c>
      <c r="E263" s="9">
        <v>100</v>
      </c>
      <c r="F263">
        <v>1</v>
      </c>
    </row>
    <row r="264" spans="1:6" x14ac:dyDescent="0.35">
      <c r="A264" t="s">
        <v>3557</v>
      </c>
      <c r="B264" s="4" t="s">
        <v>489</v>
      </c>
      <c r="C264" t="s">
        <v>3294</v>
      </c>
      <c r="D264">
        <v>4</v>
      </c>
      <c r="E264" s="9">
        <v>120</v>
      </c>
      <c r="F264">
        <v>1</v>
      </c>
    </row>
    <row r="265" spans="1:6" x14ac:dyDescent="0.35">
      <c r="A265" t="s">
        <v>3558</v>
      </c>
      <c r="B265" s="4" t="s">
        <v>489</v>
      </c>
      <c r="C265" t="s">
        <v>3296</v>
      </c>
      <c r="D265">
        <v>27</v>
      </c>
      <c r="E265" s="9">
        <v>270</v>
      </c>
      <c r="F265">
        <v>2</v>
      </c>
    </row>
    <row r="266" spans="1:6" x14ac:dyDescent="0.35">
      <c r="A266" t="s">
        <v>3559</v>
      </c>
      <c r="B266" s="4" t="s">
        <v>489</v>
      </c>
      <c r="C266" t="s">
        <v>3298</v>
      </c>
      <c r="D266">
        <v>7</v>
      </c>
      <c r="E266" s="9">
        <v>105</v>
      </c>
      <c r="F266">
        <v>3</v>
      </c>
    </row>
    <row r="267" spans="1:6" x14ac:dyDescent="0.35">
      <c r="A267" t="s">
        <v>3560</v>
      </c>
      <c r="B267" s="4" t="s">
        <v>494</v>
      </c>
      <c r="C267" t="s">
        <v>3294</v>
      </c>
      <c r="D267">
        <v>5</v>
      </c>
      <c r="E267" s="9">
        <v>150</v>
      </c>
      <c r="F267">
        <v>1</v>
      </c>
    </row>
    <row r="268" spans="1:6" x14ac:dyDescent="0.35">
      <c r="A268" t="s">
        <v>3561</v>
      </c>
      <c r="B268" s="4" t="s">
        <v>494</v>
      </c>
      <c r="C268" t="s">
        <v>3296</v>
      </c>
      <c r="D268">
        <v>40</v>
      </c>
      <c r="E268" s="9">
        <v>400</v>
      </c>
      <c r="F268">
        <v>2</v>
      </c>
    </row>
    <row r="269" spans="1:6" x14ac:dyDescent="0.35">
      <c r="A269" t="s">
        <v>3562</v>
      </c>
      <c r="B269" s="4" t="s">
        <v>494</v>
      </c>
      <c r="C269" t="s">
        <v>3298</v>
      </c>
      <c r="D269">
        <v>7</v>
      </c>
      <c r="E269" s="9">
        <v>105</v>
      </c>
      <c r="F269">
        <v>3</v>
      </c>
    </row>
    <row r="270" spans="1:6" x14ac:dyDescent="0.35">
      <c r="A270" t="s">
        <v>3563</v>
      </c>
      <c r="B270" s="4" t="s">
        <v>508</v>
      </c>
      <c r="C270" t="s">
        <v>3294</v>
      </c>
      <c r="D270">
        <v>5</v>
      </c>
      <c r="E270" s="9">
        <v>150</v>
      </c>
      <c r="F270">
        <v>1</v>
      </c>
    </row>
    <row r="271" spans="1:6" x14ac:dyDescent="0.35">
      <c r="A271" t="s">
        <v>3564</v>
      </c>
      <c r="B271" s="4" t="s">
        <v>508</v>
      </c>
      <c r="C271" t="s">
        <v>3296</v>
      </c>
      <c r="D271">
        <v>30</v>
      </c>
      <c r="E271" s="9">
        <v>300</v>
      </c>
      <c r="F271">
        <v>2</v>
      </c>
    </row>
    <row r="272" spans="1:6" x14ac:dyDescent="0.35">
      <c r="A272" t="s">
        <v>3565</v>
      </c>
      <c r="B272" s="4" t="s">
        <v>508</v>
      </c>
      <c r="C272" t="s">
        <v>3298</v>
      </c>
      <c r="D272">
        <v>6</v>
      </c>
      <c r="E272" s="9">
        <v>90</v>
      </c>
      <c r="F272">
        <v>3</v>
      </c>
    </row>
    <row r="273" spans="1:6" x14ac:dyDescent="0.35">
      <c r="A273" t="s">
        <v>3566</v>
      </c>
      <c r="B273" s="4" t="s">
        <v>514</v>
      </c>
      <c r="C273" t="s">
        <v>3294</v>
      </c>
      <c r="D273">
        <v>5</v>
      </c>
      <c r="E273" s="9">
        <v>150</v>
      </c>
      <c r="F273">
        <v>1</v>
      </c>
    </row>
    <row r="274" spans="1:6" x14ac:dyDescent="0.35">
      <c r="A274" t="s">
        <v>3567</v>
      </c>
      <c r="B274" s="4" t="s">
        <v>514</v>
      </c>
      <c r="C274" t="s">
        <v>3296</v>
      </c>
      <c r="D274">
        <v>26</v>
      </c>
      <c r="E274" s="9">
        <v>260</v>
      </c>
      <c r="F274">
        <v>2</v>
      </c>
    </row>
    <row r="275" spans="1:6" x14ac:dyDescent="0.35">
      <c r="A275" t="s">
        <v>3568</v>
      </c>
      <c r="B275" s="4" t="s">
        <v>514</v>
      </c>
      <c r="C275" t="s">
        <v>3298</v>
      </c>
      <c r="D275">
        <v>6</v>
      </c>
      <c r="E275" s="9">
        <v>90</v>
      </c>
      <c r="F275">
        <v>3</v>
      </c>
    </row>
    <row r="276" spans="1:6" x14ac:dyDescent="0.35">
      <c r="A276" t="s">
        <v>3569</v>
      </c>
      <c r="B276" s="4" t="s">
        <v>526</v>
      </c>
      <c r="C276" t="s">
        <v>3292</v>
      </c>
      <c r="D276">
        <v>6</v>
      </c>
      <c r="E276" s="9">
        <v>150</v>
      </c>
      <c r="F276">
        <v>1</v>
      </c>
    </row>
    <row r="277" spans="1:6" x14ac:dyDescent="0.35">
      <c r="A277" t="s">
        <v>3570</v>
      </c>
      <c r="B277" s="4" t="s">
        <v>526</v>
      </c>
      <c r="C277" t="s">
        <v>3294</v>
      </c>
      <c r="D277">
        <v>4</v>
      </c>
      <c r="E277" s="9">
        <v>120</v>
      </c>
      <c r="F277">
        <v>1</v>
      </c>
    </row>
    <row r="278" spans="1:6" x14ac:dyDescent="0.35">
      <c r="A278" t="s">
        <v>3571</v>
      </c>
      <c r="B278" s="4" t="s">
        <v>526</v>
      </c>
      <c r="C278" t="s">
        <v>3296</v>
      </c>
      <c r="D278">
        <v>26</v>
      </c>
      <c r="E278" s="9">
        <v>260</v>
      </c>
      <c r="F278">
        <v>2</v>
      </c>
    </row>
    <row r="279" spans="1:6" x14ac:dyDescent="0.35">
      <c r="A279" t="s">
        <v>3572</v>
      </c>
      <c r="B279" s="4" t="s">
        <v>526</v>
      </c>
      <c r="C279" t="s">
        <v>3298</v>
      </c>
      <c r="D279">
        <v>5</v>
      </c>
      <c r="E279" s="9">
        <v>75</v>
      </c>
      <c r="F279">
        <v>3</v>
      </c>
    </row>
    <row r="280" spans="1:6" x14ac:dyDescent="0.35">
      <c r="A280" t="s">
        <v>3573</v>
      </c>
      <c r="B280" s="4" t="s">
        <v>1976</v>
      </c>
      <c r="C280" t="s">
        <v>3296</v>
      </c>
      <c r="D280">
        <v>27</v>
      </c>
      <c r="E280" s="9">
        <v>270</v>
      </c>
      <c r="F280">
        <v>2</v>
      </c>
    </row>
    <row r="281" spans="1:6" x14ac:dyDescent="0.35">
      <c r="A281" t="s">
        <v>3574</v>
      </c>
      <c r="B281" s="4" t="s">
        <v>1976</v>
      </c>
      <c r="C281" t="s">
        <v>3298</v>
      </c>
      <c r="D281">
        <v>6</v>
      </c>
      <c r="E281" s="9">
        <v>90</v>
      </c>
      <c r="F281">
        <v>3</v>
      </c>
    </row>
    <row r="282" spans="1:6" x14ac:dyDescent="0.35">
      <c r="A282" t="s">
        <v>3575</v>
      </c>
      <c r="B282" s="4" t="s">
        <v>1983</v>
      </c>
      <c r="C282" t="s">
        <v>3294</v>
      </c>
      <c r="D282">
        <v>3</v>
      </c>
      <c r="E282" s="9">
        <v>90</v>
      </c>
      <c r="F282">
        <v>1</v>
      </c>
    </row>
    <row r="283" spans="1:6" x14ac:dyDescent="0.35">
      <c r="A283" t="s">
        <v>3576</v>
      </c>
      <c r="B283" s="4" t="s">
        <v>1983</v>
      </c>
      <c r="C283" t="s">
        <v>3296</v>
      </c>
      <c r="D283">
        <v>26</v>
      </c>
      <c r="E283" s="9">
        <v>260</v>
      </c>
      <c r="F283">
        <v>2</v>
      </c>
    </row>
    <row r="284" spans="1:6" x14ac:dyDescent="0.35">
      <c r="A284" t="s">
        <v>3577</v>
      </c>
      <c r="B284" s="4" t="s">
        <v>1983</v>
      </c>
      <c r="C284" t="s">
        <v>3298</v>
      </c>
      <c r="D284">
        <v>7</v>
      </c>
      <c r="E284" s="9">
        <v>105</v>
      </c>
      <c r="F284">
        <v>3</v>
      </c>
    </row>
    <row r="285" spans="1:6" x14ac:dyDescent="0.35">
      <c r="A285" t="s">
        <v>3578</v>
      </c>
      <c r="B285" s="4" t="s">
        <v>1989</v>
      </c>
      <c r="C285" t="s">
        <v>3294</v>
      </c>
      <c r="D285">
        <v>5</v>
      </c>
      <c r="E285" s="9">
        <v>150</v>
      </c>
      <c r="F285">
        <v>1</v>
      </c>
    </row>
    <row r="286" spans="1:6" x14ac:dyDescent="0.35">
      <c r="A286" t="s">
        <v>3579</v>
      </c>
      <c r="B286" s="4" t="s">
        <v>1989</v>
      </c>
      <c r="C286" t="s">
        <v>3296</v>
      </c>
      <c r="D286">
        <v>32</v>
      </c>
      <c r="E286" s="9">
        <v>320</v>
      </c>
      <c r="F286">
        <v>2</v>
      </c>
    </row>
    <row r="287" spans="1:6" x14ac:dyDescent="0.35">
      <c r="A287" t="s">
        <v>3580</v>
      </c>
      <c r="B287" s="4" t="s">
        <v>1989</v>
      </c>
      <c r="C287" t="s">
        <v>3298</v>
      </c>
      <c r="D287">
        <v>7</v>
      </c>
      <c r="E287" s="9">
        <v>105</v>
      </c>
      <c r="F287">
        <v>3</v>
      </c>
    </row>
    <row r="288" spans="1:6" x14ac:dyDescent="0.35">
      <c r="A288" t="s">
        <v>3581</v>
      </c>
      <c r="B288" s="4" t="s">
        <v>1996</v>
      </c>
      <c r="C288" t="s">
        <v>3292</v>
      </c>
      <c r="D288">
        <v>7</v>
      </c>
      <c r="E288" s="9">
        <v>175</v>
      </c>
      <c r="F288">
        <v>1</v>
      </c>
    </row>
    <row r="289" spans="1:6" x14ac:dyDescent="0.35">
      <c r="A289" t="s">
        <v>3582</v>
      </c>
      <c r="B289" s="4" t="s">
        <v>1996</v>
      </c>
      <c r="C289" t="s">
        <v>3296</v>
      </c>
      <c r="D289">
        <v>26</v>
      </c>
      <c r="E289" s="9">
        <v>260</v>
      </c>
      <c r="F289">
        <v>2</v>
      </c>
    </row>
    <row r="290" spans="1:6" x14ac:dyDescent="0.35">
      <c r="A290" t="s">
        <v>3583</v>
      </c>
      <c r="B290" s="4" t="s">
        <v>1996</v>
      </c>
      <c r="C290" t="s">
        <v>3298</v>
      </c>
      <c r="D290">
        <v>5</v>
      </c>
      <c r="E290" s="9">
        <v>75</v>
      </c>
      <c r="F290">
        <v>3</v>
      </c>
    </row>
    <row r="291" spans="1:6" x14ac:dyDescent="0.35">
      <c r="A291" t="s">
        <v>3584</v>
      </c>
      <c r="B291" s="4" t="s">
        <v>532</v>
      </c>
      <c r="C291" t="s">
        <v>3292</v>
      </c>
      <c r="D291">
        <v>7</v>
      </c>
      <c r="E291" s="9">
        <v>175</v>
      </c>
      <c r="F291">
        <v>1</v>
      </c>
    </row>
    <row r="292" spans="1:6" x14ac:dyDescent="0.35">
      <c r="A292" t="s">
        <v>3585</v>
      </c>
      <c r="B292" s="4" t="s">
        <v>532</v>
      </c>
      <c r="C292" t="s">
        <v>3294</v>
      </c>
      <c r="D292">
        <v>3</v>
      </c>
      <c r="E292" s="9">
        <v>90</v>
      </c>
      <c r="F292">
        <v>1</v>
      </c>
    </row>
    <row r="293" spans="1:6" x14ac:dyDescent="0.35">
      <c r="A293" t="s">
        <v>3586</v>
      </c>
      <c r="B293" s="4" t="s">
        <v>532</v>
      </c>
      <c r="C293" t="s">
        <v>3296</v>
      </c>
      <c r="D293">
        <v>31</v>
      </c>
      <c r="E293" s="9">
        <v>310</v>
      </c>
      <c r="F293">
        <v>2</v>
      </c>
    </row>
    <row r="294" spans="1:6" x14ac:dyDescent="0.35">
      <c r="A294" t="s">
        <v>3587</v>
      </c>
      <c r="B294" s="4" t="s">
        <v>532</v>
      </c>
      <c r="C294" t="s">
        <v>3298</v>
      </c>
      <c r="D294">
        <v>5</v>
      </c>
      <c r="E294" s="9">
        <v>75</v>
      </c>
      <c r="F294">
        <v>3</v>
      </c>
    </row>
    <row r="295" spans="1:6" x14ac:dyDescent="0.35">
      <c r="A295" t="s">
        <v>3588</v>
      </c>
      <c r="B295" s="4" t="s">
        <v>539</v>
      </c>
      <c r="C295" t="s">
        <v>3292</v>
      </c>
      <c r="D295">
        <v>7</v>
      </c>
      <c r="E295" s="9">
        <v>175</v>
      </c>
      <c r="F295">
        <v>1</v>
      </c>
    </row>
    <row r="296" spans="1:6" x14ac:dyDescent="0.35">
      <c r="A296" t="s">
        <v>3589</v>
      </c>
      <c r="B296" s="4" t="s">
        <v>539</v>
      </c>
      <c r="C296" t="s">
        <v>3294</v>
      </c>
      <c r="D296">
        <v>5</v>
      </c>
      <c r="E296" s="9">
        <v>150</v>
      </c>
      <c r="F296">
        <v>1</v>
      </c>
    </row>
    <row r="297" spans="1:6" x14ac:dyDescent="0.35">
      <c r="A297" t="s">
        <v>3590</v>
      </c>
      <c r="B297" s="4" t="s">
        <v>539</v>
      </c>
      <c r="C297" t="s">
        <v>3296</v>
      </c>
      <c r="D297">
        <v>31</v>
      </c>
      <c r="E297" s="9">
        <v>310</v>
      </c>
      <c r="F297">
        <v>2</v>
      </c>
    </row>
    <row r="298" spans="1:6" x14ac:dyDescent="0.35">
      <c r="A298" t="s">
        <v>3591</v>
      </c>
      <c r="B298" s="4" t="s">
        <v>539</v>
      </c>
      <c r="C298" t="s">
        <v>3298</v>
      </c>
      <c r="D298">
        <v>5</v>
      </c>
      <c r="E298" s="9">
        <v>75</v>
      </c>
      <c r="F298">
        <v>3</v>
      </c>
    </row>
    <row r="299" spans="1:6" x14ac:dyDescent="0.35">
      <c r="A299" t="s">
        <v>3592</v>
      </c>
      <c r="B299" s="4" t="s">
        <v>551</v>
      </c>
      <c r="C299" t="s">
        <v>3294</v>
      </c>
      <c r="D299">
        <v>2</v>
      </c>
      <c r="E299" s="9">
        <v>60</v>
      </c>
      <c r="F299">
        <v>1</v>
      </c>
    </row>
    <row r="300" spans="1:6" x14ac:dyDescent="0.35">
      <c r="A300" t="s">
        <v>3593</v>
      </c>
      <c r="B300" s="4" t="s">
        <v>551</v>
      </c>
      <c r="C300" t="s">
        <v>3296</v>
      </c>
      <c r="D300">
        <v>27</v>
      </c>
      <c r="E300" s="9">
        <v>270</v>
      </c>
      <c r="F300">
        <v>2</v>
      </c>
    </row>
    <row r="301" spans="1:6" x14ac:dyDescent="0.35">
      <c r="A301" t="s">
        <v>3594</v>
      </c>
      <c r="B301" s="4" t="s">
        <v>551</v>
      </c>
      <c r="C301" t="s">
        <v>3298</v>
      </c>
      <c r="D301">
        <v>7</v>
      </c>
      <c r="E301" s="9">
        <v>105</v>
      </c>
      <c r="F301">
        <v>3</v>
      </c>
    </row>
    <row r="302" spans="1:6" x14ac:dyDescent="0.35">
      <c r="A302" t="s">
        <v>3595</v>
      </c>
      <c r="B302" s="4" t="s">
        <v>556</v>
      </c>
      <c r="C302" t="s">
        <v>3292</v>
      </c>
      <c r="D302">
        <v>8</v>
      </c>
      <c r="E302" s="9">
        <v>200</v>
      </c>
      <c r="F302">
        <v>1</v>
      </c>
    </row>
    <row r="303" spans="1:6" x14ac:dyDescent="0.35">
      <c r="A303" t="s">
        <v>3596</v>
      </c>
      <c r="B303" s="4" t="s">
        <v>556</v>
      </c>
      <c r="C303" t="s">
        <v>3294</v>
      </c>
      <c r="D303">
        <v>4</v>
      </c>
      <c r="E303" s="9">
        <v>120</v>
      </c>
      <c r="F303">
        <v>1</v>
      </c>
    </row>
    <row r="304" spans="1:6" x14ac:dyDescent="0.35">
      <c r="A304" t="s">
        <v>3597</v>
      </c>
      <c r="B304" s="4" t="s">
        <v>556</v>
      </c>
      <c r="C304" t="s">
        <v>3296</v>
      </c>
      <c r="D304">
        <v>39</v>
      </c>
      <c r="E304" s="9">
        <v>390</v>
      </c>
      <c r="F304">
        <v>2</v>
      </c>
    </row>
    <row r="305" spans="1:6" x14ac:dyDescent="0.35">
      <c r="A305" t="s">
        <v>3598</v>
      </c>
      <c r="B305" s="4" t="s">
        <v>556</v>
      </c>
      <c r="C305" t="s">
        <v>3298</v>
      </c>
      <c r="D305">
        <v>4</v>
      </c>
      <c r="E305" s="9">
        <v>60</v>
      </c>
      <c r="F305">
        <v>3</v>
      </c>
    </row>
    <row r="306" spans="1:6" x14ac:dyDescent="0.35">
      <c r="A306" t="s">
        <v>3599</v>
      </c>
      <c r="B306" s="4" t="s">
        <v>558</v>
      </c>
      <c r="C306" t="s">
        <v>3296</v>
      </c>
      <c r="D306">
        <v>38</v>
      </c>
      <c r="E306" s="9">
        <v>380</v>
      </c>
      <c r="F306">
        <v>2</v>
      </c>
    </row>
    <row r="307" spans="1:6" x14ac:dyDescent="0.35">
      <c r="A307" t="s">
        <v>3600</v>
      </c>
      <c r="B307" s="4" t="s">
        <v>558</v>
      </c>
      <c r="C307" t="s">
        <v>3298</v>
      </c>
      <c r="D307">
        <v>4</v>
      </c>
      <c r="E307" s="9">
        <v>60</v>
      </c>
      <c r="F307">
        <v>3</v>
      </c>
    </row>
    <row r="308" spans="1:6" x14ac:dyDescent="0.35">
      <c r="A308" t="s">
        <v>3601</v>
      </c>
      <c r="B308" s="4" t="s">
        <v>572</v>
      </c>
      <c r="C308" t="s">
        <v>3292</v>
      </c>
      <c r="D308">
        <v>5</v>
      </c>
      <c r="E308" s="9">
        <v>125</v>
      </c>
      <c r="F308">
        <v>1</v>
      </c>
    </row>
    <row r="309" spans="1:6" x14ac:dyDescent="0.35">
      <c r="A309" t="s">
        <v>3602</v>
      </c>
      <c r="B309" s="4" t="s">
        <v>572</v>
      </c>
      <c r="C309" t="s">
        <v>3294</v>
      </c>
      <c r="D309">
        <v>2</v>
      </c>
      <c r="E309" s="9">
        <v>60</v>
      </c>
      <c r="F309">
        <v>1</v>
      </c>
    </row>
    <row r="310" spans="1:6" x14ac:dyDescent="0.35">
      <c r="A310" t="s">
        <v>3603</v>
      </c>
      <c r="B310" s="4" t="s">
        <v>572</v>
      </c>
      <c r="C310" t="s">
        <v>3296</v>
      </c>
      <c r="D310">
        <v>28</v>
      </c>
      <c r="E310" s="9">
        <v>280</v>
      </c>
      <c r="F310">
        <v>2</v>
      </c>
    </row>
    <row r="311" spans="1:6" x14ac:dyDescent="0.35">
      <c r="A311" t="s">
        <v>3604</v>
      </c>
      <c r="B311" s="4" t="s">
        <v>572</v>
      </c>
      <c r="C311" t="s">
        <v>3298</v>
      </c>
      <c r="D311">
        <v>4</v>
      </c>
      <c r="E311" s="9">
        <v>60</v>
      </c>
      <c r="F311">
        <v>3</v>
      </c>
    </row>
    <row r="312" spans="1:6" x14ac:dyDescent="0.35">
      <c r="A312" t="s">
        <v>3605</v>
      </c>
      <c r="B312" s="4" t="s">
        <v>580</v>
      </c>
      <c r="C312" t="s">
        <v>3296</v>
      </c>
      <c r="D312">
        <v>36</v>
      </c>
      <c r="E312" s="9">
        <v>360</v>
      </c>
      <c r="F312">
        <v>2</v>
      </c>
    </row>
    <row r="313" spans="1:6" x14ac:dyDescent="0.35">
      <c r="A313" t="s">
        <v>3606</v>
      </c>
      <c r="B313" s="4" t="s">
        <v>580</v>
      </c>
      <c r="C313" t="s">
        <v>3298</v>
      </c>
      <c r="D313">
        <v>7</v>
      </c>
      <c r="E313" s="9">
        <v>105</v>
      </c>
      <c r="F313">
        <v>3</v>
      </c>
    </row>
    <row r="314" spans="1:6" x14ac:dyDescent="0.35">
      <c r="A314" t="s">
        <v>3607</v>
      </c>
      <c r="B314" s="4" t="s">
        <v>2065</v>
      </c>
      <c r="C314" t="s">
        <v>3292</v>
      </c>
      <c r="D314">
        <v>7</v>
      </c>
      <c r="E314" s="9">
        <v>175</v>
      </c>
      <c r="F314">
        <v>1</v>
      </c>
    </row>
    <row r="315" spans="1:6" x14ac:dyDescent="0.35">
      <c r="A315" t="s">
        <v>3608</v>
      </c>
      <c r="B315" s="4" t="s">
        <v>2065</v>
      </c>
      <c r="C315" t="s">
        <v>3294</v>
      </c>
      <c r="D315">
        <v>5</v>
      </c>
      <c r="E315" s="9">
        <v>150</v>
      </c>
      <c r="F315">
        <v>1</v>
      </c>
    </row>
    <row r="316" spans="1:6" x14ac:dyDescent="0.35">
      <c r="A316" t="s">
        <v>3609</v>
      </c>
      <c r="B316" s="4" t="s">
        <v>2065</v>
      </c>
      <c r="C316" t="s">
        <v>3296</v>
      </c>
      <c r="D316">
        <v>26</v>
      </c>
      <c r="E316" s="9">
        <v>260</v>
      </c>
      <c r="F316">
        <v>2</v>
      </c>
    </row>
    <row r="317" spans="1:6" x14ac:dyDescent="0.35">
      <c r="A317" t="s">
        <v>3610</v>
      </c>
      <c r="B317" s="4" t="s">
        <v>2065</v>
      </c>
      <c r="C317" t="s">
        <v>3298</v>
      </c>
      <c r="D317">
        <v>5</v>
      </c>
      <c r="E317" s="9">
        <v>75</v>
      </c>
      <c r="F317">
        <v>3</v>
      </c>
    </row>
    <row r="318" spans="1:6" x14ac:dyDescent="0.35">
      <c r="A318" t="s">
        <v>3611</v>
      </c>
      <c r="B318" s="4" t="s">
        <v>2071</v>
      </c>
      <c r="C318" t="s">
        <v>3292</v>
      </c>
      <c r="D318">
        <v>5</v>
      </c>
      <c r="E318" s="9">
        <v>125</v>
      </c>
      <c r="F318">
        <v>1</v>
      </c>
    </row>
    <row r="319" spans="1:6" x14ac:dyDescent="0.35">
      <c r="A319" t="s">
        <v>3612</v>
      </c>
      <c r="B319" s="4" t="s">
        <v>2071</v>
      </c>
      <c r="C319" t="s">
        <v>3296</v>
      </c>
      <c r="D319">
        <v>37</v>
      </c>
      <c r="E319" s="9">
        <v>370</v>
      </c>
      <c r="F319">
        <v>2</v>
      </c>
    </row>
    <row r="320" spans="1:6" x14ac:dyDescent="0.35">
      <c r="A320" t="s">
        <v>3613</v>
      </c>
      <c r="B320" s="4" t="s">
        <v>2071</v>
      </c>
      <c r="C320" t="s">
        <v>3298</v>
      </c>
      <c r="D320">
        <v>4</v>
      </c>
      <c r="E320" s="9">
        <v>60</v>
      </c>
      <c r="F320">
        <v>3</v>
      </c>
    </row>
    <row r="321" spans="1:6" x14ac:dyDescent="0.35">
      <c r="A321" t="s">
        <v>3614</v>
      </c>
      <c r="B321" s="4" t="s">
        <v>2076</v>
      </c>
      <c r="C321" t="s">
        <v>3292</v>
      </c>
      <c r="D321">
        <v>4</v>
      </c>
      <c r="E321" s="9">
        <v>100</v>
      </c>
      <c r="F321">
        <v>1</v>
      </c>
    </row>
    <row r="322" spans="1:6" x14ac:dyDescent="0.35">
      <c r="A322" t="s">
        <v>3615</v>
      </c>
      <c r="B322" s="4" t="s">
        <v>2076</v>
      </c>
      <c r="C322" t="s">
        <v>3296</v>
      </c>
      <c r="D322">
        <v>31</v>
      </c>
      <c r="E322" s="9">
        <v>310</v>
      </c>
      <c r="F322">
        <v>2</v>
      </c>
    </row>
    <row r="323" spans="1:6" x14ac:dyDescent="0.35">
      <c r="A323" t="s">
        <v>3616</v>
      </c>
      <c r="B323" s="4" t="s">
        <v>2076</v>
      </c>
      <c r="C323" t="s">
        <v>3298</v>
      </c>
      <c r="D323">
        <v>8</v>
      </c>
      <c r="E323" s="9">
        <v>120</v>
      </c>
      <c r="F323">
        <v>3</v>
      </c>
    </row>
    <row r="324" spans="1:6" x14ac:dyDescent="0.35">
      <c r="A324" t="s">
        <v>3617</v>
      </c>
      <c r="B324" s="4" t="s">
        <v>2091</v>
      </c>
      <c r="C324" t="s">
        <v>3296</v>
      </c>
      <c r="D324">
        <v>30</v>
      </c>
      <c r="E324" s="9">
        <v>300</v>
      </c>
      <c r="F324">
        <v>2</v>
      </c>
    </row>
    <row r="325" spans="1:6" x14ac:dyDescent="0.35">
      <c r="A325" t="s">
        <v>3618</v>
      </c>
      <c r="B325" s="4" t="s">
        <v>2091</v>
      </c>
      <c r="C325" t="s">
        <v>3298</v>
      </c>
      <c r="D325">
        <v>7</v>
      </c>
      <c r="E325" s="9">
        <v>105</v>
      </c>
      <c r="F325">
        <v>3</v>
      </c>
    </row>
    <row r="326" spans="1:6" x14ac:dyDescent="0.35">
      <c r="A326" t="s">
        <v>3619</v>
      </c>
      <c r="B326" s="4" t="s">
        <v>2097</v>
      </c>
      <c r="C326" t="s">
        <v>3294</v>
      </c>
      <c r="D326">
        <v>2</v>
      </c>
      <c r="E326" s="9">
        <v>60</v>
      </c>
      <c r="F326">
        <v>1</v>
      </c>
    </row>
    <row r="327" spans="1:6" x14ac:dyDescent="0.35">
      <c r="A327" t="s">
        <v>3620</v>
      </c>
      <c r="B327" s="4" t="s">
        <v>2097</v>
      </c>
      <c r="C327" t="s">
        <v>3296</v>
      </c>
      <c r="D327">
        <v>45</v>
      </c>
      <c r="E327" s="9">
        <v>450</v>
      </c>
      <c r="F327">
        <v>2</v>
      </c>
    </row>
    <row r="328" spans="1:6" x14ac:dyDescent="0.35">
      <c r="A328" t="s">
        <v>3621</v>
      </c>
      <c r="B328" s="4" t="s">
        <v>2097</v>
      </c>
      <c r="C328" t="s">
        <v>3298</v>
      </c>
      <c r="D328">
        <v>5</v>
      </c>
      <c r="E328" s="9">
        <v>75</v>
      </c>
      <c r="F328">
        <v>3</v>
      </c>
    </row>
    <row r="329" spans="1:6" x14ac:dyDescent="0.35">
      <c r="A329" t="s">
        <v>3622</v>
      </c>
      <c r="B329" s="4" t="s">
        <v>587</v>
      </c>
      <c r="C329" t="s">
        <v>3294</v>
      </c>
      <c r="D329">
        <v>2</v>
      </c>
      <c r="E329" s="9">
        <v>60</v>
      </c>
      <c r="F329">
        <v>1</v>
      </c>
    </row>
    <row r="330" spans="1:6" x14ac:dyDescent="0.35">
      <c r="A330" t="s">
        <v>3623</v>
      </c>
      <c r="B330" s="4" t="s">
        <v>587</v>
      </c>
      <c r="C330" t="s">
        <v>3296</v>
      </c>
      <c r="D330">
        <v>44</v>
      </c>
      <c r="E330" s="9">
        <v>440</v>
      </c>
      <c r="F330">
        <v>2</v>
      </c>
    </row>
    <row r="331" spans="1:6" x14ac:dyDescent="0.35">
      <c r="A331" t="s">
        <v>3624</v>
      </c>
      <c r="B331" s="4" t="s">
        <v>587</v>
      </c>
      <c r="C331" t="s">
        <v>3298</v>
      </c>
      <c r="D331">
        <v>7</v>
      </c>
      <c r="E331" s="9">
        <v>105</v>
      </c>
      <c r="F331">
        <v>3</v>
      </c>
    </row>
    <row r="332" spans="1:6" x14ac:dyDescent="0.35">
      <c r="A332" t="s">
        <v>3625</v>
      </c>
      <c r="B332" s="4" t="s">
        <v>597</v>
      </c>
      <c r="C332" t="s">
        <v>3292</v>
      </c>
      <c r="D332">
        <v>5</v>
      </c>
      <c r="E332" s="9">
        <v>125</v>
      </c>
      <c r="F332">
        <v>1</v>
      </c>
    </row>
    <row r="333" spans="1:6" x14ac:dyDescent="0.35">
      <c r="A333" t="s">
        <v>3626</v>
      </c>
      <c r="B333" s="4" t="s">
        <v>597</v>
      </c>
      <c r="C333" t="s">
        <v>3296</v>
      </c>
      <c r="D333">
        <v>32</v>
      </c>
      <c r="E333" s="9">
        <v>320</v>
      </c>
      <c r="F333">
        <v>2</v>
      </c>
    </row>
    <row r="334" spans="1:6" x14ac:dyDescent="0.35">
      <c r="A334" t="s">
        <v>3627</v>
      </c>
      <c r="B334" s="4" t="s">
        <v>597</v>
      </c>
      <c r="C334" t="s">
        <v>3298</v>
      </c>
      <c r="D334">
        <v>6</v>
      </c>
      <c r="E334" s="9">
        <v>90</v>
      </c>
      <c r="F334">
        <v>3</v>
      </c>
    </row>
    <row r="335" spans="1:6" x14ac:dyDescent="0.35">
      <c r="A335" t="s">
        <v>3628</v>
      </c>
      <c r="B335" s="4" t="s">
        <v>603</v>
      </c>
      <c r="C335" t="s">
        <v>3292</v>
      </c>
      <c r="D335">
        <v>5</v>
      </c>
      <c r="E335" s="9">
        <v>125</v>
      </c>
      <c r="F335">
        <v>1</v>
      </c>
    </row>
    <row r="336" spans="1:6" x14ac:dyDescent="0.35">
      <c r="A336" t="s">
        <v>3629</v>
      </c>
      <c r="B336" s="4" t="s">
        <v>603</v>
      </c>
      <c r="C336" t="s">
        <v>3296</v>
      </c>
      <c r="D336">
        <v>41</v>
      </c>
      <c r="E336" s="9">
        <v>410</v>
      </c>
      <c r="F336">
        <v>2</v>
      </c>
    </row>
    <row r="337" spans="1:6" x14ac:dyDescent="0.35">
      <c r="A337" t="s">
        <v>3630</v>
      </c>
      <c r="B337" s="4" t="s">
        <v>603</v>
      </c>
      <c r="C337" t="s">
        <v>3298</v>
      </c>
      <c r="D337">
        <v>5</v>
      </c>
      <c r="E337" s="9">
        <v>75</v>
      </c>
      <c r="F337">
        <v>3</v>
      </c>
    </row>
    <row r="338" spans="1:6" x14ac:dyDescent="0.35">
      <c r="A338" t="s">
        <v>3631</v>
      </c>
      <c r="B338" s="4" t="s">
        <v>615</v>
      </c>
      <c r="C338" t="s">
        <v>3294</v>
      </c>
      <c r="D338">
        <v>2</v>
      </c>
      <c r="E338" s="9">
        <v>60</v>
      </c>
      <c r="F338">
        <v>1</v>
      </c>
    </row>
    <row r="339" spans="1:6" x14ac:dyDescent="0.35">
      <c r="A339" t="s">
        <v>3632</v>
      </c>
      <c r="B339" s="4" t="s">
        <v>615</v>
      </c>
      <c r="C339" t="s">
        <v>3296</v>
      </c>
      <c r="D339">
        <v>42</v>
      </c>
      <c r="E339" s="9">
        <v>420</v>
      </c>
      <c r="F339">
        <v>2</v>
      </c>
    </row>
    <row r="340" spans="1:6" x14ac:dyDescent="0.35">
      <c r="A340" t="s">
        <v>3633</v>
      </c>
      <c r="B340" s="4" t="s">
        <v>615</v>
      </c>
      <c r="C340" t="s">
        <v>3298</v>
      </c>
      <c r="D340">
        <v>6</v>
      </c>
      <c r="E340" s="9">
        <v>90</v>
      </c>
      <c r="F340">
        <v>3</v>
      </c>
    </row>
    <row r="341" spans="1:6" x14ac:dyDescent="0.35">
      <c r="A341" t="s">
        <v>3634</v>
      </c>
      <c r="B341" s="4" t="s">
        <v>619</v>
      </c>
      <c r="C341" t="s">
        <v>3296</v>
      </c>
      <c r="D341">
        <v>30</v>
      </c>
      <c r="E341" s="9">
        <v>300</v>
      </c>
      <c r="F341">
        <v>2</v>
      </c>
    </row>
    <row r="342" spans="1:6" x14ac:dyDescent="0.35">
      <c r="A342" t="s">
        <v>3635</v>
      </c>
      <c r="B342" s="4" t="s">
        <v>619</v>
      </c>
      <c r="C342" t="s">
        <v>3298</v>
      </c>
      <c r="D342">
        <v>6</v>
      </c>
      <c r="E342" s="9">
        <v>90</v>
      </c>
      <c r="F342">
        <v>3</v>
      </c>
    </row>
    <row r="343" spans="1:6" x14ac:dyDescent="0.35">
      <c r="A343" t="s">
        <v>3636</v>
      </c>
      <c r="B343" s="4" t="s">
        <v>627</v>
      </c>
      <c r="C343" t="s">
        <v>3292</v>
      </c>
      <c r="D343">
        <v>3</v>
      </c>
      <c r="E343" s="9">
        <v>75</v>
      </c>
      <c r="F343">
        <v>1</v>
      </c>
    </row>
    <row r="344" spans="1:6" x14ac:dyDescent="0.35">
      <c r="A344" t="s">
        <v>3637</v>
      </c>
      <c r="B344" s="4" t="s">
        <v>627</v>
      </c>
      <c r="C344" t="s">
        <v>3296</v>
      </c>
      <c r="D344">
        <v>37</v>
      </c>
      <c r="E344" s="9">
        <v>370</v>
      </c>
      <c r="F344">
        <v>2</v>
      </c>
    </row>
    <row r="345" spans="1:6" x14ac:dyDescent="0.35">
      <c r="A345" t="s">
        <v>3638</v>
      </c>
      <c r="B345" s="4" t="s">
        <v>627</v>
      </c>
      <c r="C345" t="s">
        <v>3298</v>
      </c>
      <c r="D345">
        <v>5</v>
      </c>
      <c r="E345" s="9">
        <v>75</v>
      </c>
      <c r="F345">
        <v>3</v>
      </c>
    </row>
    <row r="346" spans="1:6" x14ac:dyDescent="0.35">
      <c r="A346" t="s">
        <v>3639</v>
      </c>
      <c r="B346" s="4" t="s">
        <v>636</v>
      </c>
      <c r="C346" t="s">
        <v>3292</v>
      </c>
      <c r="D346">
        <v>4</v>
      </c>
      <c r="E346" s="9">
        <v>100</v>
      </c>
      <c r="F346">
        <v>1</v>
      </c>
    </row>
    <row r="347" spans="1:6" x14ac:dyDescent="0.35">
      <c r="A347" t="s">
        <v>3640</v>
      </c>
      <c r="B347" s="4" t="s">
        <v>636</v>
      </c>
      <c r="C347" t="s">
        <v>3296</v>
      </c>
      <c r="D347">
        <v>38</v>
      </c>
      <c r="E347" s="9">
        <v>380</v>
      </c>
      <c r="F347">
        <v>2</v>
      </c>
    </row>
    <row r="348" spans="1:6" x14ac:dyDescent="0.35">
      <c r="A348" t="s">
        <v>3641</v>
      </c>
      <c r="B348" s="4" t="s">
        <v>636</v>
      </c>
      <c r="C348" t="s">
        <v>3298</v>
      </c>
      <c r="D348">
        <v>7</v>
      </c>
      <c r="E348" s="9">
        <v>105</v>
      </c>
      <c r="F348">
        <v>3</v>
      </c>
    </row>
    <row r="349" spans="1:6" x14ac:dyDescent="0.35">
      <c r="A349" t="s">
        <v>3642</v>
      </c>
      <c r="B349" s="4" t="s">
        <v>642</v>
      </c>
      <c r="C349" t="s">
        <v>3296</v>
      </c>
      <c r="D349">
        <v>33</v>
      </c>
      <c r="E349" s="9">
        <v>330</v>
      </c>
      <c r="F349">
        <v>2</v>
      </c>
    </row>
    <row r="350" spans="1:6" x14ac:dyDescent="0.35">
      <c r="A350" t="s">
        <v>3643</v>
      </c>
      <c r="B350" s="4" t="s">
        <v>642</v>
      </c>
      <c r="C350" t="s">
        <v>3298</v>
      </c>
      <c r="D350">
        <v>5</v>
      </c>
      <c r="E350" s="9">
        <v>75</v>
      </c>
      <c r="F350">
        <v>3</v>
      </c>
    </row>
    <row r="351" spans="1:6" x14ac:dyDescent="0.35">
      <c r="A351" t="s">
        <v>3644</v>
      </c>
      <c r="B351" s="4" t="s">
        <v>653</v>
      </c>
      <c r="C351" t="s">
        <v>3292</v>
      </c>
      <c r="D351">
        <v>5</v>
      </c>
      <c r="E351" s="9">
        <v>125</v>
      </c>
      <c r="F351">
        <v>1</v>
      </c>
    </row>
    <row r="352" spans="1:6" x14ac:dyDescent="0.35">
      <c r="A352" t="s">
        <v>3645</v>
      </c>
      <c r="B352" s="4" t="s">
        <v>653</v>
      </c>
      <c r="C352" t="s">
        <v>3296</v>
      </c>
      <c r="D352">
        <v>35</v>
      </c>
      <c r="E352" s="9">
        <v>350</v>
      </c>
      <c r="F352">
        <v>2</v>
      </c>
    </row>
    <row r="353" spans="1:6" x14ac:dyDescent="0.35">
      <c r="A353" t="s">
        <v>3646</v>
      </c>
      <c r="B353" s="4" t="s">
        <v>653</v>
      </c>
      <c r="C353" t="s">
        <v>3298</v>
      </c>
      <c r="D353">
        <v>8</v>
      </c>
      <c r="E353" s="9">
        <v>120</v>
      </c>
      <c r="F353">
        <v>3</v>
      </c>
    </row>
    <row r="354" spans="1:6" x14ac:dyDescent="0.35">
      <c r="A354" t="s">
        <v>3647</v>
      </c>
      <c r="B354" s="4" t="s">
        <v>2161</v>
      </c>
      <c r="C354" t="s">
        <v>3294</v>
      </c>
      <c r="D354">
        <v>1</v>
      </c>
      <c r="E354" s="9">
        <v>30</v>
      </c>
      <c r="F354">
        <v>1</v>
      </c>
    </row>
    <row r="355" spans="1:6" x14ac:dyDescent="0.35">
      <c r="A355" t="s">
        <v>3648</v>
      </c>
      <c r="B355" s="4" t="s">
        <v>2161</v>
      </c>
      <c r="C355" t="s">
        <v>3296</v>
      </c>
      <c r="D355">
        <v>38</v>
      </c>
      <c r="E355" s="9">
        <v>380</v>
      </c>
      <c r="F355">
        <v>2</v>
      </c>
    </row>
    <row r="356" spans="1:6" x14ac:dyDescent="0.35">
      <c r="A356" t="s">
        <v>3649</v>
      </c>
      <c r="B356" s="4" t="s">
        <v>2161</v>
      </c>
      <c r="C356" t="s">
        <v>3298</v>
      </c>
      <c r="D356">
        <v>5</v>
      </c>
      <c r="E356" s="9">
        <v>75</v>
      </c>
      <c r="F356">
        <v>3</v>
      </c>
    </row>
    <row r="357" spans="1:6" x14ac:dyDescent="0.35">
      <c r="A357" t="s">
        <v>3650</v>
      </c>
      <c r="B357" s="4" t="s">
        <v>655</v>
      </c>
      <c r="C357" t="s">
        <v>3292</v>
      </c>
      <c r="D357">
        <v>5</v>
      </c>
      <c r="E357" s="9">
        <v>125</v>
      </c>
      <c r="F357">
        <v>1</v>
      </c>
    </row>
    <row r="358" spans="1:6" x14ac:dyDescent="0.35">
      <c r="A358" t="s">
        <v>3651</v>
      </c>
      <c r="B358" s="4" t="s">
        <v>655</v>
      </c>
      <c r="C358" t="s">
        <v>3294</v>
      </c>
      <c r="D358">
        <v>3</v>
      </c>
      <c r="E358" s="9">
        <v>90</v>
      </c>
      <c r="F358">
        <v>1</v>
      </c>
    </row>
    <row r="359" spans="1:6" x14ac:dyDescent="0.35">
      <c r="A359" t="s">
        <v>3652</v>
      </c>
      <c r="B359" s="4" t="s">
        <v>655</v>
      </c>
      <c r="C359" t="s">
        <v>3296</v>
      </c>
      <c r="D359">
        <v>36</v>
      </c>
      <c r="E359" s="9">
        <v>360</v>
      </c>
      <c r="F359">
        <v>2</v>
      </c>
    </row>
    <row r="360" spans="1:6" x14ac:dyDescent="0.35">
      <c r="A360" t="s">
        <v>3653</v>
      </c>
      <c r="B360" s="4" t="s">
        <v>655</v>
      </c>
      <c r="C360" t="s">
        <v>3298</v>
      </c>
      <c r="D360">
        <v>6</v>
      </c>
      <c r="E360" s="9">
        <v>90</v>
      </c>
      <c r="F360">
        <v>3</v>
      </c>
    </row>
    <row r="361" spans="1:6" x14ac:dyDescent="0.35">
      <c r="A361" t="s">
        <v>3654</v>
      </c>
      <c r="B361" s="4" t="s">
        <v>667</v>
      </c>
      <c r="C361" t="s">
        <v>3296</v>
      </c>
      <c r="D361">
        <v>38</v>
      </c>
      <c r="E361" s="9">
        <v>380</v>
      </c>
      <c r="F361">
        <v>2</v>
      </c>
    </row>
    <row r="362" spans="1:6" x14ac:dyDescent="0.35">
      <c r="A362" t="s">
        <v>3655</v>
      </c>
      <c r="B362" s="4" t="s">
        <v>667</v>
      </c>
      <c r="C362" t="s">
        <v>3298</v>
      </c>
      <c r="D362">
        <v>8</v>
      </c>
      <c r="E362" s="9">
        <v>120</v>
      </c>
      <c r="F362">
        <v>3</v>
      </c>
    </row>
    <row r="363" spans="1:6" x14ac:dyDescent="0.35">
      <c r="A363" t="s">
        <v>3656</v>
      </c>
      <c r="B363" s="4" t="s">
        <v>672</v>
      </c>
      <c r="C363" t="s">
        <v>3296</v>
      </c>
      <c r="D363">
        <v>30</v>
      </c>
      <c r="E363" s="9">
        <v>300</v>
      </c>
      <c r="F363">
        <v>2</v>
      </c>
    </row>
    <row r="364" spans="1:6" x14ac:dyDescent="0.35">
      <c r="A364" t="s">
        <v>3657</v>
      </c>
      <c r="B364" s="4" t="s">
        <v>672</v>
      </c>
      <c r="C364" t="s">
        <v>3298</v>
      </c>
      <c r="D364">
        <v>8</v>
      </c>
      <c r="E364" s="9">
        <v>120</v>
      </c>
      <c r="F364">
        <v>3</v>
      </c>
    </row>
    <row r="365" spans="1:6" x14ac:dyDescent="0.35">
      <c r="A365" t="s">
        <v>3658</v>
      </c>
      <c r="B365" s="4" t="s">
        <v>681</v>
      </c>
      <c r="C365" t="s">
        <v>3296</v>
      </c>
      <c r="D365">
        <v>30</v>
      </c>
      <c r="E365" s="9">
        <v>300</v>
      </c>
      <c r="F365">
        <v>2</v>
      </c>
    </row>
    <row r="366" spans="1:6" x14ac:dyDescent="0.35">
      <c r="A366" t="s">
        <v>3659</v>
      </c>
      <c r="B366" s="4" t="s">
        <v>681</v>
      </c>
      <c r="C366" t="s">
        <v>3298</v>
      </c>
      <c r="D366">
        <v>6</v>
      </c>
      <c r="E366" s="9">
        <v>90</v>
      </c>
      <c r="F366">
        <v>3</v>
      </c>
    </row>
    <row r="367" spans="1:6" x14ac:dyDescent="0.35">
      <c r="A367" t="s">
        <v>3660</v>
      </c>
      <c r="B367" s="4" t="s">
        <v>683</v>
      </c>
      <c r="C367" t="s">
        <v>3292</v>
      </c>
      <c r="D367">
        <v>4</v>
      </c>
      <c r="E367" s="9">
        <v>100</v>
      </c>
      <c r="F367">
        <v>1</v>
      </c>
    </row>
    <row r="368" spans="1:6" x14ac:dyDescent="0.35">
      <c r="A368" t="s">
        <v>3661</v>
      </c>
      <c r="B368" s="4" t="s">
        <v>683</v>
      </c>
      <c r="C368" t="s">
        <v>3296</v>
      </c>
      <c r="D368">
        <v>38</v>
      </c>
      <c r="E368" s="9">
        <v>380</v>
      </c>
      <c r="F368">
        <v>2</v>
      </c>
    </row>
    <row r="369" spans="1:6" x14ac:dyDescent="0.35">
      <c r="A369" t="s">
        <v>3662</v>
      </c>
      <c r="B369" s="4" t="s">
        <v>683</v>
      </c>
      <c r="C369" t="s">
        <v>3298</v>
      </c>
      <c r="D369">
        <v>8</v>
      </c>
      <c r="E369" s="9">
        <v>120</v>
      </c>
      <c r="F369">
        <v>3</v>
      </c>
    </row>
    <row r="370" spans="1:6" x14ac:dyDescent="0.35">
      <c r="A370" t="s">
        <v>3663</v>
      </c>
      <c r="B370" s="4" t="s">
        <v>692</v>
      </c>
      <c r="C370" t="s">
        <v>3296</v>
      </c>
      <c r="D370">
        <v>44</v>
      </c>
      <c r="E370" s="9">
        <v>440</v>
      </c>
      <c r="F370">
        <v>2</v>
      </c>
    </row>
    <row r="371" spans="1:6" x14ac:dyDescent="0.35">
      <c r="A371" t="s">
        <v>3664</v>
      </c>
      <c r="B371" s="4" t="s">
        <v>692</v>
      </c>
      <c r="C371" t="s">
        <v>3298</v>
      </c>
      <c r="D371">
        <v>7</v>
      </c>
      <c r="E371" s="9">
        <v>105</v>
      </c>
      <c r="F371">
        <v>3</v>
      </c>
    </row>
    <row r="372" spans="1:6" x14ac:dyDescent="0.35">
      <c r="A372" t="s">
        <v>3665</v>
      </c>
      <c r="B372" s="4" t="s">
        <v>700</v>
      </c>
      <c r="C372" t="s">
        <v>3292</v>
      </c>
      <c r="D372">
        <v>4</v>
      </c>
      <c r="E372" s="9">
        <v>100</v>
      </c>
      <c r="F372">
        <v>1</v>
      </c>
    </row>
    <row r="373" spans="1:6" x14ac:dyDescent="0.35">
      <c r="A373" t="s">
        <v>3666</v>
      </c>
      <c r="B373" s="4" t="s">
        <v>700</v>
      </c>
      <c r="C373" t="s">
        <v>3296</v>
      </c>
      <c r="D373">
        <v>42</v>
      </c>
      <c r="E373" s="9">
        <v>420</v>
      </c>
      <c r="F373">
        <v>2</v>
      </c>
    </row>
    <row r="374" spans="1:6" x14ac:dyDescent="0.35">
      <c r="A374" t="s">
        <v>3667</v>
      </c>
      <c r="B374" s="4" t="s">
        <v>700</v>
      </c>
      <c r="C374" t="s">
        <v>3298</v>
      </c>
      <c r="D374">
        <v>9</v>
      </c>
      <c r="E374" s="9">
        <v>135</v>
      </c>
      <c r="F374">
        <v>3</v>
      </c>
    </row>
    <row r="375" spans="1:6" x14ac:dyDescent="0.35">
      <c r="A375" t="s">
        <v>3668</v>
      </c>
      <c r="B375" s="4" t="s">
        <v>705</v>
      </c>
      <c r="C375" t="s">
        <v>3292</v>
      </c>
      <c r="D375">
        <v>4</v>
      </c>
      <c r="E375" s="9">
        <v>100</v>
      </c>
      <c r="F375">
        <v>1</v>
      </c>
    </row>
    <row r="376" spans="1:6" x14ac:dyDescent="0.35">
      <c r="A376" t="s">
        <v>3669</v>
      </c>
      <c r="B376" s="4" t="s">
        <v>705</v>
      </c>
      <c r="C376" t="s">
        <v>3296</v>
      </c>
      <c r="D376">
        <v>39</v>
      </c>
      <c r="E376" s="9">
        <v>390</v>
      </c>
      <c r="F376">
        <v>2</v>
      </c>
    </row>
    <row r="377" spans="1:6" x14ac:dyDescent="0.35">
      <c r="A377" t="s">
        <v>3670</v>
      </c>
      <c r="B377" s="4" t="s">
        <v>705</v>
      </c>
      <c r="C377" t="s">
        <v>3298</v>
      </c>
      <c r="D377">
        <v>7</v>
      </c>
      <c r="E377" s="9">
        <v>105</v>
      </c>
      <c r="F377">
        <v>3</v>
      </c>
    </row>
    <row r="378" spans="1:6" x14ac:dyDescent="0.35">
      <c r="A378" t="s">
        <v>3671</v>
      </c>
      <c r="B378" s="4" t="s">
        <v>2223</v>
      </c>
      <c r="C378" t="s">
        <v>3296</v>
      </c>
      <c r="D378">
        <v>40</v>
      </c>
      <c r="E378" s="9">
        <v>400</v>
      </c>
      <c r="F378">
        <v>2</v>
      </c>
    </row>
    <row r="379" spans="1:6" x14ac:dyDescent="0.35">
      <c r="A379" t="s">
        <v>3672</v>
      </c>
      <c r="B379" s="4" t="s">
        <v>2223</v>
      </c>
      <c r="C379" t="s">
        <v>3298</v>
      </c>
      <c r="D379">
        <v>7</v>
      </c>
      <c r="E379" s="9">
        <v>105</v>
      </c>
      <c r="F379">
        <v>3</v>
      </c>
    </row>
    <row r="380" spans="1:6" x14ac:dyDescent="0.35">
      <c r="A380" t="s">
        <v>3673</v>
      </c>
      <c r="B380" s="4" t="s">
        <v>709</v>
      </c>
      <c r="C380" t="s">
        <v>3296</v>
      </c>
      <c r="D380">
        <v>38</v>
      </c>
      <c r="E380" s="9">
        <v>380</v>
      </c>
      <c r="F380">
        <v>2</v>
      </c>
    </row>
    <row r="381" spans="1:6" x14ac:dyDescent="0.35">
      <c r="A381" t="s">
        <v>3674</v>
      </c>
      <c r="B381" s="4" t="s">
        <v>709</v>
      </c>
      <c r="C381" t="s">
        <v>3298</v>
      </c>
      <c r="D381">
        <v>7</v>
      </c>
      <c r="E381" s="9">
        <v>105</v>
      </c>
      <c r="F381">
        <v>3</v>
      </c>
    </row>
    <row r="382" spans="1:6" x14ac:dyDescent="0.35">
      <c r="A382" t="s">
        <v>3675</v>
      </c>
      <c r="B382" s="4" t="s">
        <v>716</v>
      </c>
      <c r="C382" t="s">
        <v>3292</v>
      </c>
      <c r="D382">
        <v>3</v>
      </c>
      <c r="E382" s="9">
        <v>75</v>
      </c>
      <c r="F382">
        <v>1</v>
      </c>
    </row>
    <row r="383" spans="1:6" x14ac:dyDescent="0.35">
      <c r="A383" t="s">
        <v>3676</v>
      </c>
      <c r="B383" s="4" t="s">
        <v>716</v>
      </c>
      <c r="C383" t="s">
        <v>3296</v>
      </c>
      <c r="D383">
        <v>42</v>
      </c>
      <c r="E383" s="9">
        <v>420</v>
      </c>
      <c r="F383">
        <v>2</v>
      </c>
    </row>
    <row r="384" spans="1:6" x14ac:dyDescent="0.35">
      <c r="A384" t="s">
        <v>3677</v>
      </c>
      <c r="B384" s="4" t="s">
        <v>716</v>
      </c>
      <c r="C384" t="s">
        <v>3298</v>
      </c>
      <c r="D384">
        <v>7</v>
      </c>
      <c r="E384" s="9">
        <v>105</v>
      </c>
      <c r="F384">
        <v>3</v>
      </c>
    </row>
    <row r="385" spans="1:6" x14ac:dyDescent="0.35">
      <c r="A385" t="s">
        <v>3678</v>
      </c>
      <c r="B385" s="4" t="s">
        <v>721</v>
      </c>
      <c r="C385" t="s">
        <v>3296</v>
      </c>
      <c r="D385">
        <v>45</v>
      </c>
      <c r="E385" s="9">
        <v>450</v>
      </c>
      <c r="F385">
        <v>2</v>
      </c>
    </row>
    <row r="386" spans="1:6" x14ac:dyDescent="0.35">
      <c r="A386" t="s">
        <v>3679</v>
      </c>
      <c r="B386" s="4" t="s">
        <v>721</v>
      </c>
      <c r="C386" t="s">
        <v>3298</v>
      </c>
      <c r="D386">
        <v>7</v>
      </c>
      <c r="E386" s="9">
        <v>105</v>
      </c>
      <c r="F386">
        <v>3</v>
      </c>
    </row>
    <row r="387" spans="1:6" x14ac:dyDescent="0.35">
      <c r="A387" t="s">
        <v>3680</v>
      </c>
      <c r="B387" s="4" t="s">
        <v>725</v>
      </c>
      <c r="C387" t="s">
        <v>3292</v>
      </c>
      <c r="D387">
        <v>5</v>
      </c>
      <c r="E387" s="9">
        <v>125</v>
      </c>
      <c r="F387">
        <v>1</v>
      </c>
    </row>
    <row r="388" spans="1:6" x14ac:dyDescent="0.35">
      <c r="A388" t="s">
        <v>3681</v>
      </c>
      <c r="B388" s="4" t="s">
        <v>725</v>
      </c>
      <c r="C388" t="s">
        <v>3296</v>
      </c>
      <c r="D388">
        <v>31</v>
      </c>
      <c r="E388" s="9">
        <v>310</v>
      </c>
      <c r="F388">
        <v>2</v>
      </c>
    </row>
    <row r="389" spans="1:6" x14ac:dyDescent="0.35">
      <c r="A389" t="s">
        <v>3682</v>
      </c>
      <c r="B389" s="4" t="s">
        <v>725</v>
      </c>
      <c r="C389" t="s">
        <v>3298</v>
      </c>
      <c r="D389">
        <v>9</v>
      </c>
      <c r="E389" s="9">
        <v>135</v>
      </c>
      <c r="F389">
        <v>3</v>
      </c>
    </row>
    <row r="390" spans="1:6" x14ac:dyDescent="0.35">
      <c r="A390" t="s">
        <v>3683</v>
      </c>
      <c r="B390" s="4" t="s">
        <v>736</v>
      </c>
      <c r="C390" t="s">
        <v>3296</v>
      </c>
      <c r="D390">
        <v>36</v>
      </c>
      <c r="E390" s="9">
        <v>360</v>
      </c>
      <c r="F390">
        <v>2</v>
      </c>
    </row>
    <row r="391" spans="1:6" x14ac:dyDescent="0.35">
      <c r="A391" t="s">
        <v>3684</v>
      </c>
      <c r="B391" s="4" t="s">
        <v>736</v>
      </c>
      <c r="C391" t="s">
        <v>3298</v>
      </c>
      <c r="D391">
        <v>7</v>
      </c>
      <c r="E391" s="9">
        <v>105</v>
      </c>
      <c r="F391">
        <v>3</v>
      </c>
    </row>
    <row r="392" spans="1:6" x14ac:dyDescent="0.35">
      <c r="A392" t="s">
        <v>3685</v>
      </c>
      <c r="B392" s="4" t="s">
        <v>2262</v>
      </c>
      <c r="C392" t="s">
        <v>3294</v>
      </c>
      <c r="D392">
        <v>3</v>
      </c>
      <c r="E392" s="9">
        <v>90</v>
      </c>
      <c r="F392">
        <v>1</v>
      </c>
    </row>
    <row r="393" spans="1:6" x14ac:dyDescent="0.35">
      <c r="A393" t="s">
        <v>3686</v>
      </c>
      <c r="B393" s="4" t="s">
        <v>2262</v>
      </c>
      <c r="C393" t="s">
        <v>3296</v>
      </c>
      <c r="D393">
        <v>45</v>
      </c>
      <c r="E393" s="9">
        <v>450</v>
      </c>
      <c r="F393">
        <v>2</v>
      </c>
    </row>
    <row r="394" spans="1:6" x14ac:dyDescent="0.35">
      <c r="A394" t="s">
        <v>3687</v>
      </c>
      <c r="B394" s="4" t="s">
        <v>2262</v>
      </c>
      <c r="C394" t="s">
        <v>3298</v>
      </c>
      <c r="D394">
        <v>7</v>
      </c>
      <c r="E394" s="9">
        <v>105</v>
      </c>
      <c r="F394">
        <v>3</v>
      </c>
    </row>
    <row r="395" spans="1:6" x14ac:dyDescent="0.35">
      <c r="A395" t="s">
        <v>3688</v>
      </c>
      <c r="B395" s="4" t="s">
        <v>2267</v>
      </c>
      <c r="C395" t="s">
        <v>3296</v>
      </c>
      <c r="D395">
        <v>35</v>
      </c>
      <c r="E395" s="9">
        <v>350</v>
      </c>
      <c r="F395">
        <v>2</v>
      </c>
    </row>
    <row r="396" spans="1:6" x14ac:dyDescent="0.35">
      <c r="A396" t="s">
        <v>3689</v>
      </c>
      <c r="B396" s="4" t="s">
        <v>2267</v>
      </c>
      <c r="C396" t="s">
        <v>3298</v>
      </c>
      <c r="D396">
        <v>7</v>
      </c>
      <c r="E396" s="9">
        <v>105</v>
      </c>
      <c r="F396">
        <v>3</v>
      </c>
    </row>
    <row r="397" spans="1:6" x14ac:dyDescent="0.35">
      <c r="A397" t="s">
        <v>3690</v>
      </c>
      <c r="B397" s="4" t="s">
        <v>2273</v>
      </c>
      <c r="C397" t="s">
        <v>3292</v>
      </c>
      <c r="D397">
        <v>3</v>
      </c>
      <c r="E397" s="9">
        <v>75</v>
      </c>
      <c r="F397">
        <v>1</v>
      </c>
    </row>
    <row r="398" spans="1:6" x14ac:dyDescent="0.35">
      <c r="A398" t="s">
        <v>3691</v>
      </c>
      <c r="B398" s="4" t="s">
        <v>2273</v>
      </c>
      <c r="C398" t="s">
        <v>3296</v>
      </c>
      <c r="D398">
        <v>35</v>
      </c>
      <c r="E398" s="9">
        <v>350</v>
      </c>
      <c r="F398">
        <v>2</v>
      </c>
    </row>
    <row r="399" spans="1:6" x14ac:dyDescent="0.35">
      <c r="A399" t="s">
        <v>3692</v>
      </c>
      <c r="B399" s="4" t="s">
        <v>2273</v>
      </c>
      <c r="C399" t="s">
        <v>3298</v>
      </c>
      <c r="D399">
        <v>7</v>
      </c>
      <c r="E399" s="9">
        <v>105</v>
      </c>
      <c r="F399">
        <v>3</v>
      </c>
    </row>
    <row r="400" spans="1:6" x14ac:dyDescent="0.35">
      <c r="A400" t="s">
        <v>3693</v>
      </c>
      <c r="B400" s="4" t="s">
        <v>2280</v>
      </c>
      <c r="C400" t="s">
        <v>3294</v>
      </c>
      <c r="D400">
        <v>1</v>
      </c>
      <c r="E400" s="9">
        <v>30</v>
      </c>
      <c r="F400">
        <v>1</v>
      </c>
    </row>
    <row r="401" spans="1:6" x14ac:dyDescent="0.35">
      <c r="A401" t="s">
        <v>3694</v>
      </c>
      <c r="B401" s="4" t="s">
        <v>2280</v>
      </c>
      <c r="C401" t="s">
        <v>3296</v>
      </c>
      <c r="D401">
        <v>39</v>
      </c>
      <c r="E401" s="9">
        <v>390</v>
      </c>
      <c r="F401">
        <v>2</v>
      </c>
    </row>
    <row r="402" spans="1:6" x14ac:dyDescent="0.35">
      <c r="A402" t="s">
        <v>3695</v>
      </c>
      <c r="B402" s="4" t="s">
        <v>2280</v>
      </c>
      <c r="C402" t="s">
        <v>3298</v>
      </c>
      <c r="D402">
        <v>8</v>
      </c>
      <c r="E402" s="9">
        <v>120</v>
      </c>
      <c r="F402">
        <v>3</v>
      </c>
    </row>
    <row r="403" spans="1:6" x14ac:dyDescent="0.35">
      <c r="A403" t="s">
        <v>3696</v>
      </c>
      <c r="B403" s="4" t="s">
        <v>2296</v>
      </c>
      <c r="C403" t="s">
        <v>3294</v>
      </c>
      <c r="D403">
        <v>2</v>
      </c>
      <c r="E403" s="9">
        <v>60</v>
      </c>
      <c r="F403">
        <v>1</v>
      </c>
    </row>
    <row r="404" spans="1:6" x14ac:dyDescent="0.35">
      <c r="A404" t="s">
        <v>3697</v>
      </c>
      <c r="B404" s="4" t="s">
        <v>2296</v>
      </c>
      <c r="C404" t="s">
        <v>3296</v>
      </c>
      <c r="D404">
        <v>39</v>
      </c>
      <c r="E404" s="9">
        <v>390</v>
      </c>
      <c r="F404">
        <v>2</v>
      </c>
    </row>
    <row r="405" spans="1:6" x14ac:dyDescent="0.35">
      <c r="A405" t="s">
        <v>3698</v>
      </c>
      <c r="B405" s="4" t="s">
        <v>2296</v>
      </c>
      <c r="C405" t="s">
        <v>3298</v>
      </c>
      <c r="D405">
        <v>8</v>
      </c>
      <c r="E405" s="9">
        <v>120</v>
      </c>
      <c r="F405">
        <v>3</v>
      </c>
    </row>
    <row r="406" spans="1:6" x14ac:dyDescent="0.35">
      <c r="A406" t="s">
        <v>3699</v>
      </c>
      <c r="B406" s="4" t="s">
        <v>738</v>
      </c>
      <c r="C406" t="s">
        <v>3296</v>
      </c>
      <c r="D406">
        <v>32</v>
      </c>
      <c r="E406" s="9">
        <v>320</v>
      </c>
      <c r="F406">
        <v>2</v>
      </c>
    </row>
    <row r="407" spans="1:6" x14ac:dyDescent="0.35">
      <c r="A407" t="s">
        <v>3700</v>
      </c>
      <c r="B407" s="4" t="s">
        <v>738</v>
      </c>
      <c r="C407" t="s">
        <v>3298</v>
      </c>
      <c r="D407">
        <v>8</v>
      </c>
      <c r="E407" s="9">
        <v>120</v>
      </c>
      <c r="F407">
        <v>3</v>
      </c>
    </row>
    <row r="408" spans="1:6" x14ac:dyDescent="0.35">
      <c r="A408" t="s">
        <v>3701</v>
      </c>
      <c r="B408" s="4" t="s">
        <v>746</v>
      </c>
      <c r="C408" t="s">
        <v>3296</v>
      </c>
      <c r="D408">
        <v>42</v>
      </c>
      <c r="E408" s="9">
        <v>420</v>
      </c>
      <c r="F408">
        <v>2</v>
      </c>
    </row>
    <row r="409" spans="1:6" x14ac:dyDescent="0.35">
      <c r="A409" t="s">
        <v>3702</v>
      </c>
      <c r="B409" s="4" t="s">
        <v>746</v>
      </c>
      <c r="C409" t="s">
        <v>3298</v>
      </c>
      <c r="D409">
        <v>9</v>
      </c>
      <c r="E409" s="9">
        <v>135</v>
      </c>
      <c r="F409">
        <v>3</v>
      </c>
    </row>
    <row r="410" spans="1:6" x14ac:dyDescent="0.35">
      <c r="A410" t="s">
        <v>3703</v>
      </c>
      <c r="B410" s="4" t="s">
        <v>749</v>
      </c>
      <c r="C410" t="s">
        <v>3292</v>
      </c>
      <c r="D410">
        <v>2</v>
      </c>
      <c r="E410" s="9">
        <v>50</v>
      </c>
      <c r="F410">
        <v>1</v>
      </c>
    </row>
    <row r="411" spans="1:6" x14ac:dyDescent="0.35">
      <c r="A411" t="s">
        <v>3704</v>
      </c>
      <c r="B411" s="4" t="s">
        <v>749</v>
      </c>
      <c r="C411" t="s">
        <v>3296</v>
      </c>
      <c r="D411">
        <v>34</v>
      </c>
      <c r="E411" s="9">
        <v>340</v>
      </c>
      <c r="F411">
        <v>2</v>
      </c>
    </row>
    <row r="412" spans="1:6" x14ac:dyDescent="0.35">
      <c r="A412" t="s">
        <v>3705</v>
      </c>
      <c r="B412" s="4" t="s">
        <v>749</v>
      </c>
      <c r="C412" t="s">
        <v>3298</v>
      </c>
      <c r="D412">
        <v>6</v>
      </c>
      <c r="E412" s="9">
        <v>90</v>
      </c>
      <c r="F412">
        <v>3</v>
      </c>
    </row>
    <row r="413" spans="1:6" x14ac:dyDescent="0.35">
      <c r="A413" t="s">
        <v>3706</v>
      </c>
      <c r="B413" s="4" t="s">
        <v>753</v>
      </c>
      <c r="C413" t="s">
        <v>3294</v>
      </c>
      <c r="D413">
        <v>3</v>
      </c>
      <c r="E413" s="9">
        <v>90</v>
      </c>
      <c r="F413">
        <v>1</v>
      </c>
    </row>
    <row r="414" spans="1:6" x14ac:dyDescent="0.35">
      <c r="A414" t="s">
        <v>3707</v>
      </c>
      <c r="B414" s="4" t="s">
        <v>753</v>
      </c>
      <c r="C414" t="s">
        <v>3296</v>
      </c>
      <c r="D414">
        <v>44</v>
      </c>
      <c r="E414" s="9">
        <v>440</v>
      </c>
      <c r="F414">
        <v>2</v>
      </c>
    </row>
    <row r="415" spans="1:6" x14ac:dyDescent="0.35">
      <c r="A415" t="s">
        <v>3708</v>
      </c>
      <c r="B415" s="4" t="s">
        <v>753</v>
      </c>
      <c r="C415" t="s">
        <v>3298</v>
      </c>
      <c r="D415">
        <v>6</v>
      </c>
      <c r="E415" s="9">
        <v>90</v>
      </c>
      <c r="F415">
        <v>3</v>
      </c>
    </row>
    <row r="416" spans="1:6" x14ac:dyDescent="0.35">
      <c r="A416" t="s">
        <v>3709</v>
      </c>
      <c r="B416" s="4" t="s">
        <v>2328</v>
      </c>
      <c r="C416" t="s">
        <v>3292</v>
      </c>
      <c r="D416">
        <v>3</v>
      </c>
      <c r="E416" s="9">
        <v>75</v>
      </c>
      <c r="F416">
        <v>1</v>
      </c>
    </row>
    <row r="417" spans="1:6" x14ac:dyDescent="0.35">
      <c r="A417" t="s">
        <v>3710</v>
      </c>
      <c r="B417" s="4" t="s">
        <v>2328</v>
      </c>
      <c r="C417" t="s">
        <v>3296</v>
      </c>
      <c r="D417">
        <v>45</v>
      </c>
      <c r="E417" s="9">
        <v>450</v>
      </c>
      <c r="F417">
        <v>2</v>
      </c>
    </row>
    <row r="418" spans="1:6" x14ac:dyDescent="0.35">
      <c r="A418" t="s">
        <v>3711</v>
      </c>
      <c r="B418" s="4" t="s">
        <v>2328</v>
      </c>
      <c r="C418" t="s">
        <v>3298</v>
      </c>
      <c r="D418">
        <v>7</v>
      </c>
      <c r="E418" s="9">
        <v>105</v>
      </c>
      <c r="F418">
        <v>3</v>
      </c>
    </row>
    <row r="419" spans="1:6" x14ac:dyDescent="0.35">
      <c r="A419" t="s">
        <v>3712</v>
      </c>
      <c r="B419" s="4" t="s">
        <v>766</v>
      </c>
      <c r="C419" t="s">
        <v>3294</v>
      </c>
      <c r="D419">
        <v>3</v>
      </c>
      <c r="E419" s="9">
        <v>90</v>
      </c>
      <c r="F419">
        <v>1</v>
      </c>
    </row>
    <row r="420" spans="1:6" x14ac:dyDescent="0.35">
      <c r="A420" t="s">
        <v>3713</v>
      </c>
      <c r="B420" s="4" t="s">
        <v>766</v>
      </c>
      <c r="C420" t="s">
        <v>3296</v>
      </c>
      <c r="D420">
        <v>31</v>
      </c>
      <c r="E420" s="9">
        <v>310</v>
      </c>
      <c r="F420">
        <v>2</v>
      </c>
    </row>
    <row r="421" spans="1:6" x14ac:dyDescent="0.35">
      <c r="A421" t="s">
        <v>3714</v>
      </c>
      <c r="B421" s="4" t="s">
        <v>766</v>
      </c>
      <c r="C421" t="s">
        <v>3298</v>
      </c>
      <c r="D421">
        <v>5</v>
      </c>
      <c r="E421" s="9">
        <v>75</v>
      </c>
      <c r="F421">
        <v>3</v>
      </c>
    </row>
    <row r="422" spans="1:6" x14ac:dyDescent="0.35">
      <c r="A422" t="s">
        <v>3715</v>
      </c>
      <c r="B422" s="4" t="s">
        <v>2340</v>
      </c>
      <c r="C422" t="s">
        <v>3292</v>
      </c>
      <c r="D422">
        <v>3</v>
      </c>
      <c r="E422" s="9">
        <v>75</v>
      </c>
      <c r="F422">
        <v>1</v>
      </c>
    </row>
    <row r="423" spans="1:6" x14ac:dyDescent="0.35">
      <c r="A423" t="s">
        <v>3716</v>
      </c>
      <c r="B423" s="4" t="s">
        <v>2340</v>
      </c>
      <c r="C423" t="s">
        <v>3296</v>
      </c>
      <c r="D423">
        <v>35</v>
      </c>
      <c r="E423" s="9">
        <v>350</v>
      </c>
      <c r="F423">
        <v>2</v>
      </c>
    </row>
    <row r="424" spans="1:6" x14ac:dyDescent="0.35">
      <c r="A424" t="s">
        <v>3717</v>
      </c>
      <c r="B424" s="4" t="s">
        <v>2340</v>
      </c>
      <c r="C424" t="s">
        <v>3298</v>
      </c>
      <c r="D424">
        <v>9</v>
      </c>
      <c r="E424" s="9">
        <v>135</v>
      </c>
      <c r="F424">
        <v>3</v>
      </c>
    </row>
    <row r="425" spans="1:6" x14ac:dyDescent="0.35">
      <c r="A425" t="s">
        <v>3718</v>
      </c>
      <c r="B425" s="4" t="s">
        <v>2346</v>
      </c>
      <c r="C425" t="s">
        <v>3296</v>
      </c>
      <c r="D425">
        <v>32</v>
      </c>
      <c r="E425" s="9">
        <v>320</v>
      </c>
      <c r="F425">
        <v>2</v>
      </c>
    </row>
    <row r="426" spans="1:6" x14ac:dyDescent="0.35">
      <c r="A426" t="s">
        <v>3719</v>
      </c>
      <c r="B426" s="4" t="s">
        <v>2346</v>
      </c>
      <c r="C426" t="s">
        <v>3298</v>
      </c>
      <c r="D426">
        <v>6</v>
      </c>
      <c r="E426" s="9">
        <v>90</v>
      </c>
      <c r="F426">
        <v>3</v>
      </c>
    </row>
    <row r="427" spans="1:6" x14ac:dyDescent="0.35">
      <c r="A427" t="s">
        <v>3720</v>
      </c>
      <c r="B427" s="4" t="s">
        <v>2352</v>
      </c>
      <c r="C427" t="s">
        <v>3296</v>
      </c>
      <c r="D427">
        <v>42</v>
      </c>
      <c r="E427" s="9">
        <v>420</v>
      </c>
      <c r="F427">
        <v>2</v>
      </c>
    </row>
    <row r="428" spans="1:6" x14ac:dyDescent="0.35">
      <c r="A428" t="s">
        <v>3721</v>
      </c>
      <c r="B428" s="4" t="s">
        <v>2352</v>
      </c>
      <c r="C428" t="s">
        <v>3298</v>
      </c>
      <c r="D428">
        <v>8</v>
      </c>
      <c r="E428" s="9">
        <v>120</v>
      </c>
      <c r="F428">
        <v>3</v>
      </c>
    </row>
    <row r="429" spans="1:6" x14ac:dyDescent="0.35">
      <c r="A429" t="s">
        <v>3722</v>
      </c>
      <c r="B429" s="4" t="s">
        <v>2367</v>
      </c>
      <c r="C429" t="s">
        <v>3294</v>
      </c>
      <c r="D429">
        <v>1</v>
      </c>
      <c r="E429" s="9">
        <v>30</v>
      </c>
      <c r="F429">
        <v>1</v>
      </c>
    </row>
    <row r="430" spans="1:6" x14ac:dyDescent="0.35">
      <c r="A430" t="s">
        <v>3723</v>
      </c>
      <c r="B430" s="4" t="s">
        <v>2367</v>
      </c>
      <c r="C430" t="s">
        <v>3296</v>
      </c>
      <c r="D430">
        <v>36</v>
      </c>
      <c r="E430" s="9">
        <v>360</v>
      </c>
      <c r="F430">
        <v>2</v>
      </c>
    </row>
    <row r="431" spans="1:6" x14ac:dyDescent="0.35">
      <c r="A431" t="s">
        <v>3724</v>
      </c>
      <c r="B431" s="4" t="s">
        <v>2367</v>
      </c>
      <c r="C431" t="s">
        <v>3298</v>
      </c>
      <c r="D431">
        <v>7</v>
      </c>
      <c r="E431" s="9">
        <v>105</v>
      </c>
      <c r="F431">
        <v>3</v>
      </c>
    </row>
    <row r="432" spans="1:6" x14ac:dyDescent="0.35">
      <c r="A432" t="s">
        <v>3725</v>
      </c>
      <c r="B432" s="4" t="s">
        <v>2373</v>
      </c>
      <c r="C432" t="s">
        <v>3296</v>
      </c>
      <c r="D432">
        <v>36</v>
      </c>
      <c r="E432" s="9">
        <v>360</v>
      </c>
      <c r="F432">
        <v>2</v>
      </c>
    </row>
    <row r="433" spans="1:6" x14ac:dyDescent="0.35">
      <c r="A433" t="s">
        <v>3726</v>
      </c>
      <c r="B433" s="4" t="s">
        <v>2373</v>
      </c>
      <c r="C433" t="s">
        <v>3298</v>
      </c>
      <c r="D433">
        <v>5</v>
      </c>
      <c r="E433" s="9">
        <v>75</v>
      </c>
      <c r="F433">
        <v>3</v>
      </c>
    </row>
    <row r="434" spans="1:6" x14ac:dyDescent="0.35">
      <c r="A434" t="s">
        <v>3727</v>
      </c>
      <c r="B434" s="4" t="s">
        <v>2378</v>
      </c>
      <c r="C434" t="s">
        <v>3296</v>
      </c>
      <c r="D434">
        <v>37</v>
      </c>
      <c r="E434" s="9">
        <v>370</v>
      </c>
      <c r="F434">
        <v>2</v>
      </c>
    </row>
    <row r="435" spans="1:6" x14ac:dyDescent="0.35">
      <c r="A435" t="s">
        <v>3728</v>
      </c>
      <c r="B435" s="4" t="s">
        <v>2378</v>
      </c>
      <c r="C435" t="s">
        <v>3298</v>
      </c>
      <c r="D435">
        <v>6</v>
      </c>
      <c r="E435" s="9">
        <v>90</v>
      </c>
      <c r="F435">
        <v>3</v>
      </c>
    </row>
    <row r="436" spans="1:6" x14ac:dyDescent="0.35">
      <c r="A436" t="s">
        <v>3729</v>
      </c>
      <c r="B436" s="4" t="s">
        <v>2383</v>
      </c>
      <c r="C436" t="s">
        <v>3294</v>
      </c>
      <c r="D436">
        <v>1</v>
      </c>
      <c r="E436" s="9">
        <v>30</v>
      </c>
      <c r="F436">
        <v>1</v>
      </c>
    </row>
    <row r="437" spans="1:6" x14ac:dyDescent="0.35">
      <c r="A437" t="s">
        <v>3730</v>
      </c>
      <c r="B437" s="4" t="s">
        <v>2383</v>
      </c>
      <c r="C437" t="s">
        <v>3296</v>
      </c>
      <c r="D437">
        <v>33</v>
      </c>
      <c r="E437" s="9">
        <v>330</v>
      </c>
      <c r="F437">
        <v>2</v>
      </c>
    </row>
    <row r="438" spans="1:6" x14ac:dyDescent="0.35">
      <c r="A438" t="s">
        <v>3731</v>
      </c>
      <c r="B438" s="4" t="s">
        <v>2383</v>
      </c>
      <c r="C438" t="s">
        <v>3298</v>
      </c>
      <c r="D438">
        <v>8</v>
      </c>
      <c r="E438" s="9">
        <v>120</v>
      </c>
      <c r="F438">
        <v>3</v>
      </c>
    </row>
    <row r="439" spans="1:6" x14ac:dyDescent="0.35">
      <c r="A439" t="s">
        <v>3732</v>
      </c>
      <c r="B439" s="4" t="s">
        <v>2389</v>
      </c>
      <c r="C439" t="s">
        <v>3294</v>
      </c>
      <c r="D439">
        <v>1</v>
      </c>
      <c r="E439" s="9">
        <v>30</v>
      </c>
      <c r="F439">
        <v>1</v>
      </c>
    </row>
    <row r="440" spans="1:6" x14ac:dyDescent="0.35">
      <c r="A440" t="s">
        <v>3733</v>
      </c>
      <c r="B440" s="4" t="s">
        <v>2389</v>
      </c>
      <c r="C440" t="s">
        <v>3296</v>
      </c>
      <c r="D440">
        <v>31</v>
      </c>
      <c r="E440" s="9">
        <v>310</v>
      </c>
      <c r="F440">
        <v>2</v>
      </c>
    </row>
    <row r="441" spans="1:6" x14ac:dyDescent="0.35">
      <c r="A441" t="s">
        <v>3734</v>
      </c>
      <c r="B441" s="4" t="s">
        <v>2389</v>
      </c>
      <c r="C441" t="s">
        <v>3298</v>
      </c>
      <c r="D441">
        <v>7</v>
      </c>
      <c r="E441" s="9">
        <v>105</v>
      </c>
      <c r="F441">
        <v>3</v>
      </c>
    </row>
    <row r="442" spans="1:6" x14ac:dyDescent="0.35">
      <c r="A442" t="s">
        <v>3735</v>
      </c>
      <c r="B442" s="4" t="s">
        <v>2405</v>
      </c>
      <c r="C442" t="s">
        <v>3296</v>
      </c>
      <c r="D442">
        <v>40</v>
      </c>
      <c r="E442" s="9">
        <v>400</v>
      </c>
      <c r="F442">
        <v>2</v>
      </c>
    </row>
    <row r="443" spans="1:6" x14ac:dyDescent="0.35">
      <c r="A443" t="s">
        <v>3736</v>
      </c>
      <c r="B443" s="4" t="s">
        <v>2405</v>
      </c>
      <c r="C443" t="s">
        <v>3298</v>
      </c>
      <c r="D443">
        <v>8</v>
      </c>
      <c r="E443" s="9">
        <v>120</v>
      </c>
      <c r="F443">
        <v>3</v>
      </c>
    </row>
    <row r="444" spans="1:6" x14ac:dyDescent="0.35">
      <c r="A444" t="s">
        <v>3737</v>
      </c>
      <c r="B444" s="4" t="s">
        <v>768</v>
      </c>
      <c r="C444" t="s">
        <v>3296</v>
      </c>
      <c r="D444">
        <v>40</v>
      </c>
      <c r="E444" s="9">
        <v>400</v>
      </c>
      <c r="F444">
        <v>2</v>
      </c>
    </row>
    <row r="445" spans="1:6" x14ac:dyDescent="0.35">
      <c r="A445" t="s">
        <v>3738</v>
      </c>
      <c r="B445" s="4" t="s">
        <v>768</v>
      </c>
      <c r="C445" t="s">
        <v>3298</v>
      </c>
      <c r="D445">
        <v>8</v>
      </c>
      <c r="E445" s="9">
        <v>120</v>
      </c>
      <c r="F445">
        <v>3</v>
      </c>
    </row>
    <row r="446" spans="1:6" x14ac:dyDescent="0.35">
      <c r="A446" t="s">
        <v>3739</v>
      </c>
      <c r="B446" s="4" t="s">
        <v>775</v>
      </c>
      <c r="C446" t="s">
        <v>3292</v>
      </c>
      <c r="D446">
        <v>3</v>
      </c>
      <c r="E446" s="9">
        <v>75</v>
      </c>
      <c r="F446">
        <v>1</v>
      </c>
    </row>
    <row r="447" spans="1:6" x14ac:dyDescent="0.35">
      <c r="A447" t="s">
        <v>3740</v>
      </c>
      <c r="B447" s="4" t="s">
        <v>775</v>
      </c>
      <c r="C447" t="s">
        <v>3294</v>
      </c>
      <c r="D447">
        <v>2</v>
      </c>
      <c r="E447" s="9">
        <v>60</v>
      </c>
      <c r="F447">
        <v>1</v>
      </c>
    </row>
    <row r="448" spans="1:6" x14ac:dyDescent="0.35">
      <c r="A448" t="s">
        <v>3741</v>
      </c>
      <c r="B448" s="4" t="s">
        <v>775</v>
      </c>
      <c r="C448" t="s">
        <v>3296</v>
      </c>
      <c r="D448">
        <v>30</v>
      </c>
      <c r="E448" s="9">
        <v>300</v>
      </c>
      <c r="F448">
        <v>2</v>
      </c>
    </row>
    <row r="449" spans="1:6" x14ac:dyDescent="0.35">
      <c r="A449" t="s">
        <v>3742</v>
      </c>
      <c r="B449" s="4" t="s">
        <v>775</v>
      </c>
      <c r="C449" t="s">
        <v>3298</v>
      </c>
      <c r="D449">
        <v>6</v>
      </c>
      <c r="E449" s="9">
        <v>90</v>
      </c>
      <c r="F449">
        <v>3</v>
      </c>
    </row>
    <row r="450" spans="1:6" x14ac:dyDescent="0.35">
      <c r="A450" t="s">
        <v>3743</v>
      </c>
      <c r="B450" s="4" t="s">
        <v>781</v>
      </c>
      <c r="C450" t="s">
        <v>3292</v>
      </c>
      <c r="D450">
        <v>3</v>
      </c>
      <c r="E450" s="9">
        <v>75</v>
      </c>
      <c r="F450">
        <v>1</v>
      </c>
    </row>
    <row r="451" spans="1:6" x14ac:dyDescent="0.35">
      <c r="A451" t="s">
        <v>3744</v>
      </c>
      <c r="B451" s="4" t="s">
        <v>781</v>
      </c>
      <c r="C451" t="s">
        <v>3294</v>
      </c>
      <c r="D451">
        <v>1</v>
      </c>
      <c r="E451" s="9">
        <v>30</v>
      </c>
      <c r="F451">
        <v>1</v>
      </c>
    </row>
    <row r="452" spans="1:6" x14ac:dyDescent="0.35">
      <c r="A452" t="s">
        <v>3745</v>
      </c>
      <c r="B452" s="4" t="s">
        <v>781</v>
      </c>
      <c r="C452" t="s">
        <v>3296</v>
      </c>
      <c r="D452">
        <v>35</v>
      </c>
      <c r="E452" s="9">
        <v>350</v>
      </c>
      <c r="F452">
        <v>2</v>
      </c>
    </row>
    <row r="453" spans="1:6" x14ac:dyDescent="0.35">
      <c r="A453" t="s">
        <v>3746</v>
      </c>
      <c r="B453" s="4" t="s">
        <v>781</v>
      </c>
      <c r="C453" t="s">
        <v>3298</v>
      </c>
      <c r="D453">
        <v>5</v>
      </c>
      <c r="E453" s="9">
        <v>75</v>
      </c>
      <c r="F453">
        <v>3</v>
      </c>
    </row>
    <row r="454" spans="1:6" x14ac:dyDescent="0.35">
      <c r="A454" t="s">
        <v>3747</v>
      </c>
      <c r="B454" s="4" t="s">
        <v>786</v>
      </c>
      <c r="C454" t="s">
        <v>3292</v>
      </c>
      <c r="D454">
        <v>2</v>
      </c>
      <c r="E454" s="9">
        <v>50</v>
      </c>
      <c r="F454">
        <v>1</v>
      </c>
    </row>
    <row r="455" spans="1:6" x14ac:dyDescent="0.35">
      <c r="A455" t="s">
        <v>3748</v>
      </c>
      <c r="B455" s="4" t="s">
        <v>786</v>
      </c>
      <c r="C455" t="s">
        <v>3294</v>
      </c>
      <c r="D455">
        <v>3</v>
      </c>
      <c r="E455" s="9">
        <v>90</v>
      </c>
      <c r="F455">
        <v>1</v>
      </c>
    </row>
    <row r="456" spans="1:6" x14ac:dyDescent="0.35">
      <c r="A456" t="s">
        <v>3749</v>
      </c>
      <c r="B456" s="4" t="s">
        <v>786</v>
      </c>
      <c r="C456" t="s">
        <v>3296</v>
      </c>
      <c r="D456">
        <v>38</v>
      </c>
      <c r="E456" s="9">
        <v>380</v>
      </c>
      <c r="F456">
        <v>2</v>
      </c>
    </row>
    <row r="457" spans="1:6" x14ac:dyDescent="0.35">
      <c r="A457" t="s">
        <v>3750</v>
      </c>
      <c r="B457" s="4" t="s">
        <v>786</v>
      </c>
      <c r="C457" t="s">
        <v>3298</v>
      </c>
      <c r="D457">
        <v>9</v>
      </c>
      <c r="E457" s="9">
        <v>135</v>
      </c>
      <c r="F457">
        <v>3</v>
      </c>
    </row>
    <row r="458" spans="1:6" x14ac:dyDescent="0.35">
      <c r="A458" t="s">
        <v>3751</v>
      </c>
      <c r="B458" s="4" t="s">
        <v>807</v>
      </c>
      <c r="C458" t="s">
        <v>3296</v>
      </c>
      <c r="D458">
        <v>31</v>
      </c>
      <c r="E458" s="9">
        <v>310</v>
      </c>
      <c r="F458">
        <v>2</v>
      </c>
    </row>
    <row r="459" spans="1:6" x14ac:dyDescent="0.35">
      <c r="A459" t="s">
        <v>3752</v>
      </c>
      <c r="B459" s="4" t="s">
        <v>807</v>
      </c>
      <c r="C459" t="s">
        <v>3298</v>
      </c>
      <c r="D459">
        <v>5</v>
      </c>
      <c r="E459" s="9">
        <v>75</v>
      </c>
      <c r="F459">
        <v>3</v>
      </c>
    </row>
    <row r="460" spans="1:6" x14ac:dyDescent="0.35">
      <c r="A460" t="s">
        <v>3753</v>
      </c>
      <c r="B460" s="4" t="s">
        <v>812</v>
      </c>
      <c r="C460" t="s">
        <v>3294</v>
      </c>
      <c r="D460">
        <v>3</v>
      </c>
      <c r="E460" s="9">
        <v>90</v>
      </c>
      <c r="F460">
        <v>1</v>
      </c>
    </row>
    <row r="461" spans="1:6" x14ac:dyDescent="0.35">
      <c r="A461" t="s">
        <v>3754</v>
      </c>
      <c r="B461" s="4" t="s">
        <v>812</v>
      </c>
      <c r="C461" t="s">
        <v>3296</v>
      </c>
      <c r="D461">
        <v>33</v>
      </c>
      <c r="E461" s="9">
        <v>330</v>
      </c>
      <c r="F461">
        <v>2</v>
      </c>
    </row>
    <row r="462" spans="1:6" x14ac:dyDescent="0.35">
      <c r="A462" t="s">
        <v>3755</v>
      </c>
      <c r="B462" s="4" t="s">
        <v>812</v>
      </c>
      <c r="C462" t="s">
        <v>3298</v>
      </c>
      <c r="D462">
        <v>8</v>
      </c>
      <c r="E462" s="9">
        <v>120</v>
      </c>
      <c r="F462">
        <v>3</v>
      </c>
    </row>
    <row r="463" spans="1:6" x14ac:dyDescent="0.35">
      <c r="A463" t="s">
        <v>3756</v>
      </c>
      <c r="B463" s="4" t="s">
        <v>823</v>
      </c>
      <c r="C463" t="s">
        <v>3292</v>
      </c>
      <c r="D463">
        <v>2</v>
      </c>
      <c r="E463" s="9">
        <v>50</v>
      </c>
      <c r="F463">
        <v>1</v>
      </c>
    </row>
    <row r="464" spans="1:6" x14ac:dyDescent="0.35">
      <c r="A464" t="s">
        <v>3757</v>
      </c>
      <c r="B464" s="4" t="s">
        <v>823</v>
      </c>
      <c r="C464" t="s">
        <v>3296</v>
      </c>
      <c r="D464">
        <v>45</v>
      </c>
      <c r="E464" s="9">
        <v>450</v>
      </c>
      <c r="F464">
        <v>2</v>
      </c>
    </row>
    <row r="465" spans="1:6" x14ac:dyDescent="0.35">
      <c r="A465" t="s">
        <v>3758</v>
      </c>
      <c r="B465" s="4" t="s">
        <v>823</v>
      </c>
      <c r="C465" t="s">
        <v>3298</v>
      </c>
      <c r="D465">
        <v>6</v>
      </c>
      <c r="E465" s="9">
        <v>90</v>
      </c>
      <c r="F465">
        <v>3</v>
      </c>
    </row>
    <row r="466" spans="1:6" x14ac:dyDescent="0.35">
      <c r="A466" t="s">
        <v>3759</v>
      </c>
      <c r="B466" s="4" t="s">
        <v>831</v>
      </c>
      <c r="C466" t="s">
        <v>3292</v>
      </c>
      <c r="D466">
        <v>2</v>
      </c>
      <c r="E466" s="9">
        <v>50</v>
      </c>
      <c r="F466">
        <v>1</v>
      </c>
    </row>
    <row r="467" spans="1:6" x14ac:dyDescent="0.35">
      <c r="A467" t="s">
        <v>3760</v>
      </c>
      <c r="B467" s="4" t="s">
        <v>831</v>
      </c>
      <c r="C467" t="s">
        <v>3294</v>
      </c>
      <c r="D467">
        <v>3</v>
      </c>
      <c r="E467" s="9">
        <v>90</v>
      </c>
      <c r="F467">
        <v>1</v>
      </c>
    </row>
    <row r="468" spans="1:6" x14ac:dyDescent="0.35">
      <c r="A468" t="s">
        <v>3761</v>
      </c>
      <c r="B468" s="4" t="s">
        <v>831</v>
      </c>
      <c r="C468" t="s">
        <v>3296</v>
      </c>
      <c r="D468">
        <v>33</v>
      </c>
      <c r="E468" s="9">
        <v>330</v>
      </c>
      <c r="F468">
        <v>2</v>
      </c>
    </row>
    <row r="469" spans="1:6" x14ac:dyDescent="0.35">
      <c r="A469" t="s">
        <v>3762</v>
      </c>
      <c r="B469" s="4" t="s">
        <v>831</v>
      </c>
      <c r="C469" t="s">
        <v>3298</v>
      </c>
      <c r="D469">
        <v>9</v>
      </c>
      <c r="E469" s="9">
        <v>135</v>
      </c>
      <c r="F469">
        <v>3</v>
      </c>
    </row>
    <row r="470" spans="1:6" x14ac:dyDescent="0.35">
      <c r="A470" t="s">
        <v>3763</v>
      </c>
      <c r="B470" s="4" t="s">
        <v>837</v>
      </c>
      <c r="C470" t="s">
        <v>3292</v>
      </c>
      <c r="D470">
        <v>3</v>
      </c>
      <c r="E470" s="9">
        <v>75</v>
      </c>
      <c r="F470">
        <v>1</v>
      </c>
    </row>
    <row r="471" spans="1:6" x14ac:dyDescent="0.35">
      <c r="A471" t="s">
        <v>3764</v>
      </c>
      <c r="B471" s="4" t="s">
        <v>837</v>
      </c>
      <c r="C471" t="s">
        <v>3296</v>
      </c>
      <c r="D471">
        <v>33</v>
      </c>
      <c r="E471" s="9">
        <v>330</v>
      </c>
      <c r="F471">
        <v>2</v>
      </c>
    </row>
    <row r="472" spans="1:6" x14ac:dyDescent="0.35">
      <c r="A472" t="s">
        <v>3765</v>
      </c>
      <c r="B472" s="4" t="s">
        <v>837</v>
      </c>
      <c r="C472" t="s">
        <v>3298</v>
      </c>
      <c r="D472">
        <v>9</v>
      </c>
      <c r="E472" s="9">
        <v>135</v>
      </c>
      <c r="F472">
        <v>3</v>
      </c>
    </row>
    <row r="473" spans="1:6" x14ac:dyDescent="0.35">
      <c r="A473" t="s">
        <v>3766</v>
      </c>
      <c r="B473" s="4" t="s">
        <v>2471</v>
      </c>
      <c r="C473" t="s">
        <v>3294</v>
      </c>
      <c r="D473">
        <v>1</v>
      </c>
      <c r="E473" s="9">
        <v>30</v>
      </c>
      <c r="F473">
        <v>1</v>
      </c>
    </row>
    <row r="474" spans="1:6" x14ac:dyDescent="0.35">
      <c r="A474" t="s">
        <v>3767</v>
      </c>
      <c r="B474" s="4" t="s">
        <v>2471</v>
      </c>
      <c r="C474" t="s">
        <v>3296</v>
      </c>
      <c r="D474">
        <v>33</v>
      </c>
      <c r="E474" s="9">
        <v>330</v>
      </c>
      <c r="F474">
        <v>2</v>
      </c>
    </row>
    <row r="475" spans="1:6" x14ac:dyDescent="0.35">
      <c r="A475" t="s">
        <v>3768</v>
      </c>
      <c r="B475" s="4" t="s">
        <v>2471</v>
      </c>
      <c r="C475" t="s">
        <v>3298</v>
      </c>
      <c r="D475">
        <v>8</v>
      </c>
      <c r="E475" s="9">
        <v>120</v>
      </c>
      <c r="F475">
        <v>3</v>
      </c>
    </row>
    <row r="476" spans="1:6" x14ac:dyDescent="0.35">
      <c r="A476" t="s">
        <v>3769</v>
      </c>
      <c r="B476" s="4" t="s">
        <v>841</v>
      </c>
      <c r="C476" t="s">
        <v>3292</v>
      </c>
      <c r="D476">
        <v>3</v>
      </c>
      <c r="E476" s="9">
        <v>75</v>
      </c>
      <c r="F476">
        <v>1</v>
      </c>
    </row>
    <row r="477" spans="1:6" x14ac:dyDescent="0.35">
      <c r="A477" t="s">
        <v>3770</v>
      </c>
      <c r="B477" s="4" t="s">
        <v>841</v>
      </c>
      <c r="C477" t="s">
        <v>3296</v>
      </c>
      <c r="D477">
        <v>36</v>
      </c>
      <c r="E477" s="9">
        <v>360</v>
      </c>
      <c r="F477">
        <v>2</v>
      </c>
    </row>
    <row r="478" spans="1:6" x14ac:dyDescent="0.35">
      <c r="A478" t="s">
        <v>3771</v>
      </c>
      <c r="B478" s="4" t="s">
        <v>841</v>
      </c>
      <c r="C478" t="s">
        <v>3298</v>
      </c>
      <c r="D478">
        <v>7</v>
      </c>
      <c r="E478" s="9">
        <v>105</v>
      </c>
      <c r="F478">
        <v>3</v>
      </c>
    </row>
    <row r="479" spans="1:6" x14ac:dyDescent="0.35">
      <c r="A479" t="s">
        <v>3772</v>
      </c>
      <c r="B479" s="4" t="s">
        <v>851</v>
      </c>
      <c r="C479" t="s">
        <v>3294</v>
      </c>
      <c r="D479">
        <v>1</v>
      </c>
      <c r="E479" s="9">
        <v>30</v>
      </c>
      <c r="F479">
        <v>1</v>
      </c>
    </row>
    <row r="480" spans="1:6" x14ac:dyDescent="0.35">
      <c r="A480" t="s">
        <v>3773</v>
      </c>
      <c r="B480" s="4" t="s">
        <v>851</v>
      </c>
      <c r="C480" t="s">
        <v>3296</v>
      </c>
      <c r="D480">
        <v>45</v>
      </c>
      <c r="E480" s="9">
        <v>450</v>
      </c>
      <c r="F480">
        <v>2</v>
      </c>
    </row>
    <row r="481" spans="1:6" x14ac:dyDescent="0.35">
      <c r="A481" t="s">
        <v>3774</v>
      </c>
      <c r="B481" s="4" t="s">
        <v>851</v>
      </c>
      <c r="C481" t="s">
        <v>3298</v>
      </c>
      <c r="D481">
        <v>6</v>
      </c>
      <c r="E481" s="9">
        <v>90</v>
      </c>
      <c r="F481">
        <v>3</v>
      </c>
    </row>
    <row r="482" spans="1:6" x14ac:dyDescent="0.35">
      <c r="A482" t="s">
        <v>3775</v>
      </c>
      <c r="B482" s="4" t="s">
        <v>855</v>
      </c>
      <c r="C482" t="s">
        <v>3296</v>
      </c>
      <c r="D482">
        <v>37</v>
      </c>
      <c r="E482" s="9">
        <v>370</v>
      </c>
      <c r="F482">
        <v>2</v>
      </c>
    </row>
    <row r="483" spans="1:6" x14ac:dyDescent="0.35">
      <c r="A483" t="s">
        <v>3776</v>
      </c>
      <c r="B483" s="4" t="s">
        <v>855</v>
      </c>
      <c r="C483" t="s">
        <v>3298</v>
      </c>
      <c r="D483">
        <v>5</v>
      </c>
      <c r="E483" s="9">
        <v>75</v>
      </c>
      <c r="F483">
        <v>3</v>
      </c>
    </row>
    <row r="484" spans="1:6" x14ac:dyDescent="0.35">
      <c r="A484" t="s">
        <v>3777</v>
      </c>
      <c r="B484" s="4" t="s">
        <v>858</v>
      </c>
      <c r="C484" t="s">
        <v>3292</v>
      </c>
      <c r="D484">
        <v>2</v>
      </c>
      <c r="E484" s="9">
        <v>50</v>
      </c>
      <c r="F484">
        <v>1</v>
      </c>
    </row>
    <row r="485" spans="1:6" x14ac:dyDescent="0.35">
      <c r="A485" t="s">
        <v>3778</v>
      </c>
      <c r="B485" s="4" t="s">
        <v>858</v>
      </c>
      <c r="C485" t="s">
        <v>3296</v>
      </c>
      <c r="D485">
        <v>45</v>
      </c>
      <c r="E485" s="9">
        <v>450</v>
      </c>
      <c r="F485">
        <v>2</v>
      </c>
    </row>
    <row r="486" spans="1:6" x14ac:dyDescent="0.35">
      <c r="A486" t="s">
        <v>3779</v>
      </c>
      <c r="B486" s="4" t="s">
        <v>858</v>
      </c>
      <c r="C486" t="s">
        <v>3298</v>
      </c>
      <c r="D486">
        <v>6</v>
      </c>
      <c r="E486" s="9">
        <v>90</v>
      </c>
      <c r="F486">
        <v>3</v>
      </c>
    </row>
    <row r="487" spans="1:6" x14ac:dyDescent="0.35">
      <c r="A487" t="s">
        <v>3780</v>
      </c>
      <c r="B487" s="4" t="s">
        <v>860</v>
      </c>
      <c r="C487" t="s">
        <v>3296</v>
      </c>
      <c r="D487">
        <v>32</v>
      </c>
      <c r="E487" s="9">
        <v>320</v>
      </c>
      <c r="F487">
        <v>2</v>
      </c>
    </row>
    <row r="488" spans="1:6" x14ac:dyDescent="0.35">
      <c r="A488" t="s">
        <v>3781</v>
      </c>
      <c r="B488" s="4" t="s">
        <v>860</v>
      </c>
      <c r="C488" t="s">
        <v>3298</v>
      </c>
      <c r="D488">
        <v>5</v>
      </c>
      <c r="E488" s="9">
        <v>75</v>
      </c>
      <c r="F488">
        <v>3</v>
      </c>
    </row>
    <row r="489" spans="1:6" x14ac:dyDescent="0.35">
      <c r="A489" t="s">
        <v>3782</v>
      </c>
      <c r="B489" s="4" t="s">
        <v>868</v>
      </c>
      <c r="C489" t="s">
        <v>3296</v>
      </c>
      <c r="D489">
        <v>44</v>
      </c>
      <c r="E489" s="9">
        <v>440</v>
      </c>
      <c r="F489">
        <v>2</v>
      </c>
    </row>
    <row r="490" spans="1:6" x14ac:dyDescent="0.35">
      <c r="A490" t="s">
        <v>3783</v>
      </c>
      <c r="B490" s="4" t="s">
        <v>868</v>
      </c>
      <c r="C490" t="s">
        <v>3298</v>
      </c>
      <c r="D490">
        <v>7</v>
      </c>
      <c r="E490" s="9">
        <v>105</v>
      </c>
      <c r="F490">
        <v>3</v>
      </c>
    </row>
    <row r="491" spans="1:6" x14ac:dyDescent="0.35">
      <c r="A491" t="s">
        <v>3784</v>
      </c>
      <c r="B491" s="4" t="s">
        <v>872</v>
      </c>
      <c r="C491" t="s">
        <v>3292</v>
      </c>
      <c r="D491">
        <v>2</v>
      </c>
      <c r="E491" s="9">
        <v>50</v>
      </c>
      <c r="F491">
        <v>1</v>
      </c>
    </row>
    <row r="492" spans="1:6" x14ac:dyDescent="0.35">
      <c r="A492" t="s">
        <v>3785</v>
      </c>
      <c r="B492" s="4" t="s">
        <v>872</v>
      </c>
      <c r="C492" t="s">
        <v>3294</v>
      </c>
      <c r="D492">
        <v>1</v>
      </c>
      <c r="E492" s="9">
        <v>30</v>
      </c>
      <c r="F492">
        <v>1</v>
      </c>
    </row>
    <row r="493" spans="1:6" x14ac:dyDescent="0.35">
      <c r="A493" t="s">
        <v>3786</v>
      </c>
      <c r="B493" s="4" t="s">
        <v>872</v>
      </c>
      <c r="C493" t="s">
        <v>3296</v>
      </c>
      <c r="D493">
        <v>31</v>
      </c>
      <c r="E493" s="9">
        <v>310</v>
      </c>
      <c r="F493">
        <v>2</v>
      </c>
    </row>
    <row r="494" spans="1:6" x14ac:dyDescent="0.35">
      <c r="A494" t="s">
        <v>3787</v>
      </c>
      <c r="B494" s="4" t="s">
        <v>872</v>
      </c>
      <c r="C494" t="s">
        <v>3298</v>
      </c>
      <c r="D494">
        <v>7</v>
      </c>
      <c r="E494" s="9">
        <v>105</v>
      </c>
      <c r="F494">
        <v>3</v>
      </c>
    </row>
    <row r="495" spans="1:6" x14ac:dyDescent="0.35">
      <c r="A495" t="s">
        <v>3788</v>
      </c>
      <c r="B495" s="4" t="s">
        <v>876</v>
      </c>
      <c r="C495" t="s">
        <v>3292</v>
      </c>
      <c r="D495">
        <v>4</v>
      </c>
      <c r="E495" s="9">
        <v>100</v>
      </c>
      <c r="F495">
        <v>1</v>
      </c>
    </row>
    <row r="496" spans="1:6" x14ac:dyDescent="0.35">
      <c r="A496" t="s">
        <v>3789</v>
      </c>
      <c r="B496" s="4" t="s">
        <v>876</v>
      </c>
      <c r="C496" t="s">
        <v>3296</v>
      </c>
      <c r="D496">
        <v>33</v>
      </c>
      <c r="E496" s="9">
        <v>330</v>
      </c>
      <c r="F496">
        <v>2</v>
      </c>
    </row>
    <row r="497" spans="1:6" x14ac:dyDescent="0.35">
      <c r="A497" t="s">
        <v>3790</v>
      </c>
      <c r="B497" s="4" t="s">
        <v>876</v>
      </c>
      <c r="C497" t="s">
        <v>3298</v>
      </c>
      <c r="D497">
        <v>5</v>
      </c>
      <c r="E497" s="9">
        <v>75</v>
      </c>
      <c r="F497">
        <v>3</v>
      </c>
    </row>
    <row r="498" spans="1:6" x14ac:dyDescent="0.35">
      <c r="A498" t="s">
        <v>3791</v>
      </c>
      <c r="B498" s="4" t="s">
        <v>878</v>
      </c>
      <c r="C498" t="s">
        <v>3296</v>
      </c>
      <c r="D498">
        <v>30</v>
      </c>
      <c r="E498" s="9">
        <v>300</v>
      </c>
      <c r="F498">
        <v>2</v>
      </c>
    </row>
    <row r="499" spans="1:6" x14ac:dyDescent="0.35">
      <c r="A499" t="s">
        <v>3792</v>
      </c>
      <c r="B499" s="4" t="s">
        <v>878</v>
      </c>
      <c r="C499" t="s">
        <v>3298</v>
      </c>
      <c r="D499">
        <v>6</v>
      </c>
      <c r="E499" s="9">
        <v>90</v>
      </c>
      <c r="F499">
        <v>3</v>
      </c>
    </row>
    <row r="500" spans="1:6" x14ac:dyDescent="0.35">
      <c r="A500" t="s">
        <v>3793</v>
      </c>
      <c r="B500" s="4" t="s">
        <v>2536</v>
      </c>
      <c r="C500" t="s">
        <v>3294</v>
      </c>
      <c r="D500">
        <v>2</v>
      </c>
      <c r="E500" s="9">
        <v>60</v>
      </c>
      <c r="F500">
        <v>1</v>
      </c>
    </row>
    <row r="501" spans="1:6" x14ac:dyDescent="0.35">
      <c r="A501" t="s">
        <v>3794</v>
      </c>
      <c r="B501" s="4" t="s">
        <v>2536</v>
      </c>
      <c r="C501" t="s">
        <v>3296</v>
      </c>
      <c r="D501">
        <v>44</v>
      </c>
      <c r="E501" s="9">
        <v>440</v>
      </c>
      <c r="F501">
        <v>2</v>
      </c>
    </row>
    <row r="502" spans="1:6" x14ac:dyDescent="0.35">
      <c r="A502" t="s">
        <v>3795</v>
      </c>
      <c r="B502" s="4" t="s">
        <v>2536</v>
      </c>
      <c r="C502" t="s">
        <v>3298</v>
      </c>
      <c r="D502">
        <v>9</v>
      </c>
      <c r="E502" s="9">
        <v>135</v>
      </c>
      <c r="F502">
        <v>3</v>
      </c>
    </row>
    <row r="503" spans="1:6" x14ac:dyDescent="0.35">
      <c r="A503" t="s">
        <v>3796</v>
      </c>
      <c r="B503" s="4" t="s">
        <v>886</v>
      </c>
      <c r="C503" t="s">
        <v>3292</v>
      </c>
      <c r="D503">
        <v>2</v>
      </c>
      <c r="E503" s="9">
        <v>50</v>
      </c>
      <c r="F503">
        <v>1</v>
      </c>
    </row>
    <row r="504" spans="1:6" x14ac:dyDescent="0.35">
      <c r="A504" t="s">
        <v>3797</v>
      </c>
      <c r="B504" s="4" t="s">
        <v>886</v>
      </c>
      <c r="C504" t="s">
        <v>3294</v>
      </c>
      <c r="D504">
        <v>2</v>
      </c>
      <c r="E504" s="9">
        <v>60</v>
      </c>
      <c r="F504">
        <v>1</v>
      </c>
    </row>
    <row r="505" spans="1:6" x14ac:dyDescent="0.35">
      <c r="A505" t="s">
        <v>3798</v>
      </c>
      <c r="B505" s="4" t="s">
        <v>886</v>
      </c>
      <c r="C505" t="s">
        <v>3296</v>
      </c>
      <c r="D505">
        <v>35</v>
      </c>
      <c r="E505" s="9">
        <v>350</v>
      </c>
      <c r="F505">
        <v>2</v>
      </c>
    </row>
    <row r="506" spans="1:6" x14ac:dyDescent="0.35">
      <c r="A506" t="s">
        <v>3799</v>
      </c>
      <c r="B506" s="4" t="s">
        <v>886</v>
      </c>
      <c r="C506" t="s">
        <v>3298</v>
      </c>
      <c r="D506">
        <v>5</v>
      </c>
      <c r="E506" s="9">
        <v>75</v>
      </c>
      <c r="F506">
        <v>3</v>
      </c>
    </row>
    <row r="507" spans="1:6" x14ac:dyDescent="0.35">
      <c r="A507" t="s">
        <v>3800</v>
      </c>
      <c r="B507" s="4" t="s">
        <v>888</v>
      </c>
      <c r="C507" t="s">
        <v>3292</v>
      </c>
      <c r="D507">
        <v>5</v>
      </c>
      <c r="E507" s="9">
        <v>125</v>
      </c>
      <c r="F507">
        <v>1</v>
      </c>
    </row>
    <row r="508" spans="1:6" x14ac:dyDescent="0.35">
      <c r="A508" t="s">
        <v>3801</v>
      </c>
      <c r="B508" s="4" t="s">
        <v>888</v>
      </c>
      <c r="C508" t="s">
        <v>3294</v>
      </c>
      <c r="D508">
        <v>2</v>
      </c>
      <c r="E508" s="9">
        <v>60</v>
      </c>
      <c r="F508">
        <v>1</v>
      </c>
    </row>
    <row r="509" spans="1:6" x14ac:dyDescent="0.35">
      <c r="A509" t="s">
        <v>3802</v>
      </c>
      <c r="B509" s="4" t="s">
        <v>888</v>
      </c>
      <c r="C509" t="s">
        <v>3296</v>
      </c>
      <c r="D509">
        <v>45</v>
      </c>
      <c r="E509" s="9">
        <v>450</v>
      </c>
      <c r="F509">
        <v>2</v>
      </c>
    </row>
    <row r="510" spans="1:6" x14ac:dyDescent="0.35">
      <c r="A510" t="s">
        <v>3803</v>
      </c>
      <c r="B510" s="4" t="s">
        <v>888</v>
      </c>
      <c r="C510" t="s">
        <v>3298</v>
      </c>
      <c r="D510">
        <v>8</v>
      </c>
      <c r="E510" s="9">
        <v>120</v>
      </c>
      <c r="F510">
        <v>3</v>
      </c>
    </row>
    <row r="511" spans="1:6" x14ac:dyDescent="0.35">
      <c r="A511" t="s">
        <v>3804</v>
      </c>
      <c r="B511" s="4" t="s">
        <v>896</v>
      </c>
      <c r="C511" t="s">
        <v>3296</v>
      </c>
      <c r="D511">
        <v>33</v>
      </c>
      <c r="E511" s="9">
        <v>330</v>
      </c>
      <c r="F511">
        <v>2</v>
      </c>
    </row>
    <row r="512" spans="1:6" x14ac:dyDescent="0.35">
      <c r="A512" t="s">
        <v>3805</v>
      </c>
      <c r="B512" s="4" t="s">
        <v>896</v>
      </c>
      <c r="C512" t="s">
        <v>3298</v>
      </c>
      <c r="D512">
        <v>6</v>
      </c>
      <c r="E512" s="9">
        <v>90</v>
      </c>
      <c r="F512">
        <v>3</v>
      </c>
    </row>
    <row r="513" spans="1:6" x14ac:dyDescent="0.35">
      <c r="A513" t="s">
        <v>3806</v>
      </c>
      <c r="B513" s="4" t="s">
        <v>904</v>
      </c>
      <c r="C513" t="s">
        <v>3294</v>
      </c>
      <c r="D513">
        <v>1</v>
      </c>
      <c r="E513" s="9">
        <v>30</v>
      </c>
      <c r="F513">
        <v>1</v>
      </c>
    </row>
    <row r="514" spans="1:6" x14ac:dyDescent="0.35">
      <c r="A514" t="s">
        <v>3807</v>
      </c>
      <c r="B514" s="4" t="s">
        <v>904</v>
      </c>
      <c r="C514" t="s">
        <v>3296</v>
      </c>
      <c r="D514">
        <v>33</v>
      </c>
      <c r="E514" s="9">
        <v>330</v>
      </c>
      <c r="F514">
        <v>2</v>
      </c>
    </row>
    <row r="515" spans="1:6" x14ac:dyDescent="0.35">
      <c r="A515" t="s">
        <v>3808</v>
      </c>
      <c r="B515" s="4" t="s">
        <v>904</v>
      </c>
      <c r="C515" t="s">
        <v>3298</v>
      </c>
      <c r="D515">
        <v>8</v>
      </c>
      <c r="E515" s="9">
        <v>120</v>
      </c>
      <c r="F515">
        <v>3</v>
      </c>
    </row>
    <row r="516" spans="1:6" x14ac:dyDescent="0.35">
      <c r="A516" t="s">
        <v>3809</v>
      </c>
      <c r="B516" s="4" t="s">
        <v>2569</v>
      </c>
      <c r="C516" t="s">
        <v>3296</v>
      </c>
      <c r="D516">
        <v>44</v>
      </c>
      <c r="E516" s="9">
        <v>440</v>
      </c>
      <c r="F516">
        <v>2</v>
      </c>
    </row>
    <row r="517" spans="1:6" x14ac:dyDescent="0.35">
      <c r="A517" t="s">
        <v>3810</v>
      </c>
      <c r="B517" s="4" t="s">
        <v>2569</v>
      </c>
      <c r="C517" t="s">
        <v>3298</v>
      </c>
      <c r="D517">
        <v>6</v>
      </c>
      <c r="E517" s="9">
        <v>90</v>
      </c>
      <c r="F517">
        <v>3</v>
      </c>
    </row>
    <row r="518" spans="1:6" x14ac:dyDescent="0.35">
      <c r="A518" t="s">
        <v>3811</v>
      </c>
      <c r="B518" s="4" t="s">
        <v>915</v>
      </c>
      <c r="C518" t="s">
        <v>3296</v>
      </c>
      <c r="D518">
        <v>30</v>
      </c>
      <c r="E518" s="9">
        <v>300</v>
      </c>
      <c r="F518">
        <v>2</v>
      </c>
    </row>
    <row r="519" spans="1:6" x14ac:dyDescent="0.35">
      <c r="A519" t="s">
        <v>3812</v>
      </c>
      <c r="B519" s="4" t="s">
        <v>915</v>
      </c>
      <c r="C519" t="s">
        <v>3298</v>
      </c>
      <c r="D519">
        <v>6</v>
      </c>
      <c r="E519" s="9">
        <v>90</v>
      </c>
      <c r="F519">
        <v>3</v>
      </c>
    </row>
    <row r="520" spans="1:6" x14ac:dyDescent="0.35">
      <c r="A520" t="s">
        <v>3813</v>
      </c>
      <c r="B520" s="4" t="s">
        <v>2580</v>
      </c>
      <c r="C520" t="s">
        <v>3292</v>
      </c>
      <c r="D520">
        <v>5</v>
      </c>
      <c r="E520" s="9">
        <v>125</v>
      </c>
      <c r="F520">
        <v>1</v>
      </c>
    </row>
    <row r="521" spans="1:6" x14ac:dyDescent="0.35">
      <c r="A521" t="s">
        <v>3814</v>
      </c>
      <c r="B521" s="4" t="s">
        <v>2580</v>
      </c>
      <c r="C521" t="s">
        <v>3294</v>
      </c>
      <c r="D521">
        <v>2</v>
      </c>
      <c r="E521" s="9">
        <v>60</v>
      </c>
      <c r="F521">
        <v>1</v>
      </c>
    </row>
    <row r="522" spans="1:6" x14ac:dyDescent="0.35">
      <c r="A522" t="s">
        <v>3815</v>
      </c>
      <c r="B522" s="4" t="s">
        <v>2580</v>
      </c>
      <c r="C522" t="s">
        <v>3296</v>
      </c>
      <c r="D522">
        <v>44</v>
      </c>
      <c r="E522" s="9">
        <v>440</v>
      </c>
      <c r="F522">
        <v>2</v>
      </c>
    </row>
    <row r="523" spans="1:6" x14ac:dyDescent="0.35">
      <c r="A523" t="s">
        <v>3816</v>
      </c>
      <c r="B523" s="4" t="s">
        <v>2580</v>
      </c>
      <c r="C523" t="s">
        <v>3298</v>
      </c>
      <c r="D523">
        <v>5</v>
      </c>
      <c r="E523" s="9">
        <v>75</v>
      </c>
      <c r="F523">
        <v>3</v>
      </c>
    </row>
    <row r="524" spans="1:6" x14ac:dyDescent="0.35">
      <c r="A524" t="s">
        <v>3817</v>
      </c>
      <c r="B524" s="4" t="s">
        <v>2585</v>
      </c>
      <c r="C524" t="s">
        <v>3292</v>
      </c>
      <c r="D524">
        <v>4</v>
      </c>
      <c r="E524" s="9">
        <v>100</v>
      </c>
      <c r="F524">
        <v>1</v>
      </c>
    </row>
    <row r="525" spans="1:6" x14ac:dyDescent="0.35">
      <c r="A525" t="s">
        <v>3818</v>
      </c>
      <c r="B525" s="4" t="s">
        <v>2585</v>
      </c>
      <c r="C525" t="s">
        <v>3294</v>
      </c>
      <c r="D525">
        <v>3</v>
      </c>
      <c r="E525" s="9">
        <v>90</v>
      </c>
      <c r="F525">
        <v>1</v>
      </c>
    </row>
    <row r="526" spans="1:6" x14ac:dyDescent="0.35">
      <c r="A526" t="s">
        <v>3819</v>
      </c>
      <c r="B526" s="4" t="s">
        <v>2585</v>
      </c>
      <c r="C526" t="s">
        <v>3296</v>
      </c>
      <c r="D526">
        <v>37</v>
      </c>
      <c r="E526" s="9">
        <v>370</v>
      </c>
      <c r="F526">
        <v>2</v>
      </c>
    </row>
    <row r="527" spans="1:6" x14ac:dyDescent="0.35">
      <c r="A527" t="s">
        <v>3820</v>
      </c>
      <c r="B527" s="4" t="s">
        <v>2585</v>
      </c>
      <c r="C527" t="s">
        <v>3298</v>
      </c>
      <c r="D527">
        <v>7</v>
      </c>
      <c r="E527" s="9">
        <v>105</v>
      </c>
      <c r="F527">
        <v>3</v>
      </c>
    </row>
    <row r="528" spans="1:6" x14ac:dyDescent="0.35">
      <c r="A528" t="s">
        <v>3821</v>
      </c>
      <c r="B528" s="4" t="s">
        <v>2591</v>
      </c>
      <c r="C528" t="s">
        <v>3296</v>
      </c>
      <c r="D528">
        <v>33</v>
      </c>
      <c r="E528" s="9">
        <v>330</v>
      </c>
      <c r="F528">
        <v>2</v>
      </c>
    </row>
    <row r="529" spans="1:6" x14ac:dyDescent="0.35">
      <c r="A529" t="s">
        <v>3822</v>
      </c>
      <c r="B529" s="4" t="s">
        <v>2591</v>
      </c>
      <c r="C529" t="s">
        <v>3298</v>
      </c>
      <c r="D529">
        <v>8</v>
      </c>
      <c r="E529" s="9">
        <v>120</v>
      </c>
      <c r="F529">
        <v>3</v>
      </c>
    </row>
    <row r="530" spans="1:6" x14ac:dyDescent="0.35">
      <c r="A530" t="s">
        <v>3823</v>
      </c>
      <c r="B530" s="4" t="s">
        <v>2606</v>
      </c>
      <c r="C530" t="s">
        <v>3294</v>
      </c>
      <c r="D530">
        <v>2</v>
      </c>
      <c r="E530" s="9">
        <v>60</v>
      </c>
      <c r="F530">
        <v>1</v>
      </c>
    </row>
    <row r="531" spans="1:6" x14ac:dyDescent="0.35">
      <c r="A531" t="s">
        <v>3824</v>
      </c>
      <c r="B531" s="4" t="s">
        <v>2606</v>
      </c>
      <c r="C531" t="s">
        <v>3296</v>
      </c>
      <c r="D531">
        <v>42</v>
      </c>
      <c r="E531" s="9">
        <v>420</v>
      </c>
      <c r="F531">
        <v>2</v>
      </c>
    </row>
    <row r="532" spans="1:6" x14ac:dyDescent="0.35">
      <c r="A532" t="s">
        <v>3825</v>
      </c>
      <c r="B532" s="4" t="s">
        <v>2606</v>
      </c>
      <c r="C532" t="s">
        <v>3298</v>
      </c>
      <c r="D532">
        <v>6</v>
      </c>
      <c r="E532" s="9">
        <v>90</v>
      </c>
      <c r="F532">
        <v>3</v>
      </c>
    </row>
    <row r="533" spans="1:6" x14ac:dyDescent="0.35">
      <c r="A533" t="s">
        <v>3826</v>
      </c>
      <c r="B533" s="4" t="s">
        <v>2611</v>
      </c>
      <c r="C533" t="s">
        <v>3296</v>
      </c>
      <c r="D533">
        <v>31</v>
      </c>
      <c r="E533" s="9">
        <v>310</v>
      </c>
      <c r="F533">
        <v>2</v>
      </c>
    </row>
    <row r="534" spans="1:6" x14ac:dyDescent="0.35">
      <c r="A534" t="s">
        <v>3827</v>
      </c>
      <c r="B534" s="4" t="s">
        <v>2611</v>
      </c>
      <c r="C534" t="s">
        <v>3298</v>
      </c>
      <c r="D534">
        <v>5</v>
      </c>
      <c r="E534" s="9">
        <v>75</v>
      </c>
      <c r="F534">
        <v>3</v>
      </c>
    </row>
    <row r="535" spans="1:6" x14ac:dyDescent="0.35">
      <c r="A535" t="s">
        <v>3828</v>
      </c>
      <c r="B535" s="4" t="s">
        <v>2617</v>
      </c>
      <c r="C535" t="s">
        <v>3294</v>
      </c>
      <c r="D535">
        <v>2</v>
      </c>
      <c r="E535" s="9">
        <v>60</v>
      </c>
      <c r="F535">
        <v>1</v>
      </c>
    </row>
    <row r="536" spans="1:6" x14ac:dyDescent="0.35">
      <c r="A536" t="s">
        <v>3829</v>
      </c>
      <c r="B536" s="4" t="s">
        <v>2617</v>
      </c>
      <c r="C536" t="s">
        <v>3296</v>
      </c>
      <c r="D536">
        <v>45</v>
      </c>
      <c r="E536" s="9">
        <v>450</v>
      </c>
      <c r="F536">
        <v>2</v>
      </c>
    </row>
    <row r="537" spans="1:6" x14ac:dyDescent="0.35">
      <c r="A537" t="s">
        <v>3830</v>
      </c>
      <c r="B537" s="4" t="s">
        <v>2617</v>
      </c>
      <c r="C537" t="s">
        <v>3298</v>
      </c>
      <c r="D537">
        <v>6</v>
      </c>
      <c r="E537" s="9">
        <v>90</v>
      </c>
      <c r="F537">
        <v>3</v>
      </c>
    </row>
    <row r="538" spans="1:6" x14ac:dyDescent="0.35">
      <c r="A538" t="s">
        <v>3831</v>
      </c>
      <c r="B538" s="4" t="s">
        <v>2622</v>
      </c>
      <c r="C538" t="s">
        <v>3292</v>
      </c>
      <c r="D538">
        <v>5</v>
      </c>
      <c r="E538" s="9">
        <v>125</v>
      </c>
      <c r="F538">
        <v>1</v>
      </c>
    </row>
    <row r="539" spans="1:6" x14ac:dyDescent="0.35">
      <c r="A539" t="s">
        <v>3832</v>
      </c>
      <c r="B539" s="4" t="s">
        <v>2622</v>
      </c>
      <c r="C539" t="s">
        <v>3294</v>
      </c>
      <c r="D539">
        <v>2</v>
      </c>
      <c r="E539" s="9">
        <v>60</v>
      </c>
      <c r="F539">
        <v>1</v>
      </c>
    </row>
    <row r="540" spans="1:6" x14ac:dyDescent="0.35">
      <c r="A540" t="s">
        <v>3833</v>
      </c>
      <c r="B540" s="4" t="s">
        <v>2622</v>
      </c>
      <c r="C540" t="s">
        <v>3296</v>
      </c>
      <c r="D540">
        <v>38</v>
      </c>
      <c r="E540" s="9">
        <v>380</v>
      </c>
      <c r="F540">
        <v>2</v>
      </c>
    </row>
    <row r="541" spans="1:6" x14ac:dyDescent="0.35">
      <c r="A541" t="s">
        <v>3834</v>
      </c>
      <c r="B541" s="4" t="s">
        <v>2622</v>
      </c>
      <c r="C541" t="s">
        <v>3298</v>
      </c>
      <c r="D541">
        <v>5</v>
      </c>
      <c r="E541" s="9">
        <v>75</v>
      </c>
      <c r="F541">
        <v>3</v>
      </c>
    </row>
    <row r="542" spans="1:6" x14ac:dyDescent="0.35">
      <c r="A542" t="s">
        <v>3835</v>
      </c>
      <c r="B542" s="4" t="s">
        <v>2627</v>
      </c>
      <c r="C542" t="s">
        <v>3296</v>
      </c>
      <c r="D542">
        <v>42</v>
      </c>
      <c r="E542" s="9">
        <v>420</v>
      </c>
      <c r="F542">
        <v>2</v>
      </c>
    </row>
    <row r="543" spans="1:6" x14ac:dyDescent="0.35">
      <c r="A543" t="s">
        <v>3836</v>
      </c>
      <c r="B543" s="4" t="s">
        <v>2627</v>
      </c>
      <c r="C543" t="s">
        <v>3298</v>
      </c>
      <c r="D543">
        <v>8</v>
      </c>
      <c r="E543" s="9">
        <v>120</v>
      </c>
      <c r="F543">
        <v>3</v>
      </c>
    </row>
    <row r="544" spans="1:6" x14ac:dyDescent="0.35">
      <c r="A544" t="s">
        <v>3837</v>
      </c>
      <c r="B544" s="4" t="s">
        <v>2646</v>
      </c>
      <c r="C544" t="s">
        <v>3294</v>
      </c>
      <c r="D544">
        <v>2</v>
      </c>
      <c r="E544" s="9">
        <v>60</v>
      </c>
      <c r="F544">
        <v>1</v>
      </c>
    </row>
    <row r="545" spans="1:6" x14ac:dyDescent="0.35">
      <c r="A545" t="s">
        <v>3838</v>
      </c>
      <c r="B545" s="4" t="s">
        <v>2646</v>
      </c>
      <c r="C545" t="s">
        <v>3296</v>
      </c>
      <c r="D545">
        <v>44</v>
      </c>
      <c r="E545" s="9">
        <v>440</v>
      </c>
      <c r="F545">
        <v>2</v>
      </c>
    </row>
    <row r="546" spans="1:6" x14ac:dyDescent="0.35">
      <c r="A546" t="s">
        <v>3839</v>
      </c>
      <c r="B546" s="4" t="s">
        <v>2646</v>
      </c>
      <c r="C546" t="s">
        <v>3298</v>
      </c>
      <c r="D546">
        <v>5</v>
      </c>
      <c r="E546" s="9">
        <v>75</v>
      </c>
      <c r="F546">
        <v>3</v>
      </c>
    </row>
    <row r="547" spans="1:6" x14ac:dyDescent="0.35">
      <c r="A547" t="s">
        <v>3840</v>
      </c>
      <c r="B547" s="4" t="s">
        <v>917</v>
      </c>
      <c r="C547" t="s">
        <v>3296</v>
      </c>
      <c r="D547">
        <v>33</v>
      </c>
      <c r="E547" s="9">
        <v>330</v>
      </c>
      <c r="F547">
        <v>2</v>
      </c>
    </row>
    <row r="548" spans="1:6" x14ac:dyDescent="0.35">
      <c r="A548" t="s">
        <v>3841</v>
      </c>
      <c r="B548" s="4" t="s">
        <v>917</v>
      </c>
      <c r="C548" t="s">
        <v>3298</v>
      </c>
      <c r="D548">
        <v>8</v>
      </c>
      <c r="E548" s="9">
        <v>120</v>
      </c>
      <c r="F548">
        <v>3</v>
      </c>
    </row>
    <row r="549" spans="1:6" x14ac:dyDescent="0.35">
      <c r="A549" t="s">
        <v>3842</v>
      </c>
      <c r="B549" s="4" t="s">
        <v>922</v>
      </c>
      <c r="C549" t="s">
        <v>3294</v>
      </c>
      <c r="D549">
        <v>2</v>
      </c>
      <c r="E549" s="9">
        <v>60</v>
      </c>
      <c r="F549">
        <v>1</v>
      </c>
    </row>
    <row r="550" spans="1:6" x14ac:dyDescent="0.35">
      <c r="A550" t="s">
        <v>3843</v>
      </c>
      <c r="B550" s="4" t="s">
        <v>922</v>
      </c>
      <c r="C550" t="s">
        <v>3296</v>
      </c>
      <c r="D550">
        <v>43</v>
      </c>
      <c r="E550" s="9">
        <v>430</v>
      </c>
      <c r="F550">
        <v>2</v>
      </c>
    </row>
    <row r="551" spans="1:6" x14ac:dyDescent="0.35">
      <c r="A551" t="s">
        <v>3844</v>
      </c>
      <c r="B551" s="4" t="s">
        <v>922</v>
      </c>
      <c r="C551" t="s">
        <v>3298</v>
      </c>
      <c r="D551">
        <v>5</v>
      </c>
      <c r="E551" s="9">
        <v>75</v>
      </c>
      <c r="F551">
        <v>3</v>
      </c>
    </row>
    <row r="552" spans="1:6" x14ac:dyDescent="0.35">
      <c r="A552" t="s">
        <v>3845</v>
      </c>
      <c r="B552" s="4" t="s">
        <v>928</v>
      </c>
      <c r="C552" t="s">
        <v>3294</v>
      </c>
      <c r="D552">
        <v>1</v>
      </c>
      <c r="E552" s="9">
        <v>30</v>
      </c>
      <c r="F552">
        <v>1</v>
      </c>
    </row>
    <row r="553" spans="1:6" x14ac:dyDescent="0.35">
      <c r="A553" t="s">
        <v>3846</v>
      </c>
      <c r="B553" s="4" t="s">
        <v>928</v>
      </c>
      <c r="C553" t="s">
        <v>3296</v>
      </c>
      <c r="D553">
        <v>39</v>
      </c>
      <c r="E553" s="9">
        <v>390</v>
      </c>
      <c r="F553">
        <v>2</v>
      </c>
    </row>
    <row r="554" spans="1:6" x14ac:dyDescent="0.35">
      <c r="A554" t="s">
        <v>3847</v>
      </c>
      <c r="B554" s="4" t="s">
        <v>928</v>
      </c>
      <c r="C554" t="s">
        <v>3298</v>
      </c>
      <c r="D554">
        <v>9</v>
      </c>
      <c r="E554" s="9">
        <v>135</v>
      </c>
      <c r="F554">
        <v>3</v>
      </c>
    </row>
    <row r="555" spans="1:6" x14ac:dyDescent="0.35">
      <c r="A555" t="s">
        <v>3848</v>
      </c>
      <c r="B555" s="4" t="s">
        <v>932</v>
      </c>
      <c r="C555" t="s">
        <v>3296</v>
      </c>
      <c r="D555">
        <v>44</v>
      </c>
      <c r="E555" s="9">
        <v>440</v>
      </c>
      <c r="F555">
        <v>2</v>
      </c>
    </row>
    <row r="556" spans="1:6" x14ac:dyDescent="0.35">
      <c r="A556" t="s">
        <v>3849</v>
      </c>
      <c r="B556" s="4" t="s">
        <v>932</v>
      </c>
      <c r="C556" t="s">
        <v>3298</v>
      </c>
      <c r="D556">
        <v>7</v>
      </c>
      <c r="E556" s="9">
        <v>105</v>
      </c>
      <c r="F556">
        <v>3</v>
      </c>
    </row>
    <row r="557" spans="1:6" x14ac:dyDescent="0.35">
      <c r="A557" t="s">
        <v>3850</v>
      </c>
      <c r="B557" s="4" t="s">
        <v>2679</v>
      </c>
      <c r="C557" t="s">
        <v>3292</v>
      </c>
      <c r="D557">
        <v>2</v>
      </c>
      <c r="E557" s="9">
        <v>50</v>
      </c>
      <c r="F557">
        <v>1</v>
      </c>
    </row>
    <row r="558" spans="1:6" x14ac:dyDescent="0.35">
      <c r="A558" t="s">
        <v>3851</v>
      </c>
      <c r="B558" s="4" t="s">
        <v>2679</v>
      </c>
      <c r="C558" t="s">
        <v>3296</v>
      </c>
      <c r="D558">
        <v>44</v>
      </c>
      <c r="E558" s="9">
        <v>440</v>
      </c>
      <c r="F558">
        <v>2</v>
      </c>
    </row>
    <row r="559" spans="1:6" x14ac:dyDescent="0.35">
      <c r="A559" t="s">
        <v>3852</v>
      </c>
      <c r="B559" s="4" t="s">
        <v>2679</v>
      </c>
      <c r="C559" t="s">
        <v>3298</v>
      </c>
      <c r="D559">
        <v>7</v>
      </c>
      <c r="E559" s="9">
        <v>105</v>
      </c>
      <c r="F559">
        <v>3</v>
      </c>
    </row>
    <row r="560" spans="1:6" x14ac:dyDescent="0.35">
      <c r="A560" t="s">
        <v>3853</v>
      </c>
      <c r="B560" s="4" t="s">
        <v>939</v>
      </c>
      <c r="C560" t="s">
        <v>3296</v>
      </c>
      <c r="D560">
        <v>45</v>
      </c>
      <c r="E560" s="9">
        <v>450</v>
      </c>
      <c r="F560">
        <v>2</v>
      </c>
    </row>
    <row r="561" spans="1:6" x14ac:dyDescent="0.35">
      <c r="A561" t="s">
        <v>3854</v>
      </c>
      <c r="B561" s="4" t="s">
        <v>939</v>
      </c>
      <c r="C561" t="s">
        <v>3298</v>
      </c>
      <c r="D561">
        <v>7</v>
      </c>
      <c r="E561" s="9">
        <v>105</v>
      </c>
      <c r="F561">
        <v>3</v>
      </c>
    </row>
    <row r="562" spans="1:6" x14ac:dyDescent="0.35">
      <c r="A562" t="s">
        <v>3855</v>
      </c>
      <c r="B562" s="4" t="s">
        <v>949</v>
      </c>
      <c r="C562" t="s">
        <v>3294</v>
      </c>
      <c r="D562">
        <v>3</v>
      </c>
      <c r="E562" s="9">
        <v>90</v>
      </c>
      <c r="F562">
        <v>1</v>
      </c>
    </row>
    <row r="563" spans="1:6" x14ac:dyDescent="0.35">
      <c r="A563" t="s">
        <v>3856</v>
      </c>
      <c r="B563" s="4" t="s">
        <v>949</v>
      </c>
      <c r="C563" t="s">
        <v>3296</v>
      </c>
      <c r="D563">
        <v>37</v>
      </c>
      <c r="E563" s="9">
        <v>370</v>
      </c>
      <c r="F563">
        <v>2</v>
      </c>
    </row>
    <row r="564" spans="1:6" x14ac:dyDescent="0.35">
      <c r="A564" t="s">
        <v>3857</v>
      </c>
      <c r="B564" s="4" t="s">
        <v>949</v>
      </c>
      <c r="C564" t="s">
        <v>3298</v>
      </c>
      <c r="D564">
        <v>5</v>
      </c>
      <c r="E564" s="9">
        <v>75</v>
      </c>
      <c r="F564">
        <v>3</v>
      </c>
    </row>
    <row r="565" spans="1:6" x14ac:dyDescent="0.35">
      <c r="A565" t="s">
        <v>3858</v>
      </c>
      <c r="B565" s="4" t="s">
        <v>2695</v>
      </c>
      <c r="C565" t="s">
        <v>3292</v>
      </c>
      <c r="D565">
        <v>4</v>
      </c>
      <c r="E565" s="9">
        <v>100</v>
      </c>
      <c r="F565">
        <v>1</v>
      </c>
    </row>
    <row r="566" spans="1:6" x14ac:dyDescent="0.35">
      <c r="A566" t="s">
        <v>3859</v>
      </c>
      <c r="B566" s="4" t="s">
        <v>2695</v>
      </c>
      <c r="C566" t="s">
        <v>3296</v>
      </c>
      <c r="D566">
        <v>41</v>
      </c>
      <c r="E566" s="9">
        <v>410</v>
      </c>
      <c r="F566">
        <v>2</v>
      </c>
    </row>
    <row r="567" spans="1:6" x14ac:dyDescent="0.35">
      <c r="A567" t="s">
        <v>3860</v>
      </c>
      <c r="B567" s="4" t="s">
        <v>2695</v>
      </c>
      <c r="C567" t="s">
        <v>3298</v>
      </c>
      <c r="D567">
        <v>5</v>
      </c>
      <c r="E567" s="9">
        <v>75</v>
      </c>
      <c r="F567">
        <v>3</v>
      </c>
    </row>
    <row r="568" spans="1:6" x14ac:dyDescent="0.35">
      <c r="A568" t="s">
        <v>3861</v>
      </c>
      <c r="B568" s="4" t="s">
        <v>952</v>
      </c>
      <c r="C568" t="s">
        <v>3292</v>
      </c>
      <c r="D568">
        <v>3</v>
      </c>
      <c r="E568" s="9">
        <v>75</v>
      </c>
      <c r="F568">
        <v>1</v>
      </c>
    </row>
    <row r="569" spans="1:6" x14ac:dyDescent="0.35">
      <c r="A569" t="s">
        <v>3862</v>
      </c>
      <c r="B569" s="4" t="s">
        <v>952</v>
      </c>
      <c r="C569" t="s">
        <v>3296</v>
      </c>
      <c r="D569">
        <v>43</v>
      </c>
      <c r="E569" s="9">
        <v>430</v>
      </c>
      <c r="F569">
        <v>2</v>
      </c>
    </row>
    <row r="570" spans="1:6" x14ac:dyDescent="0.35">
      <c r="A570" t="s">
        <v>3863</v>
      </c>
      <c r="B570" s="4" t="s">
        <v>952</v>
      </c>
      <c r="C570" t="s">
        <v>3298</v>
      </c>
      <c r="D570">
        <v>5</v>
      </c>
      <c r="E570" s="9">
        <v>75</v>
      </c>
      <c r="F570">
        <v>3</v>
      </c>
    </row>
    <row r="571" spans="1:6" x14ac:dyDescent="0.35">
      <c r="A571" t="s">
        <v>3864</v>
      </c>
      <c r="B571" s="4" t="s">
        <v>2716</v>
      </c>
      <c r="C571" t="s">
        <v>3292</v>
      </c>
      <c r="D571">
        <v>3</v>
      </c>
      <c r="E571" s="9">
        <v>75</v>
      </c>
      <c r="F571">
        <v>1</v>
      </c>
    </row>
    <row r="572" spans="1:6" x14ac:dyDescent="0.35">
      <c r="A572" t="s">
        <v>3865</v>
      </c>
      <c r="B572" s="4" t="s">
        <v>2716</v>
      </c>
      <c r="C572" t="s">
        <v>3294</v>
      </c>
      <c r="D572">
        <v>2</v>
      </c>
      <c r="E572" s="9">
        <v>60</v>
      </c>
      <c r="F572">
        <v>1</v>
      </c>
    </row>
    <row r="573" spans="1:6" x14ac:dyDescent="0.35">
      <c r="A573" t="s">
        <v>3866</v>
      </c>
      <c r="B573" s="4" t="s">
        <v>2716</v>
      </c>
      <c r="C573" t="s">
        <v>3296</v>
      </c>
      <c r="D573">
        <v>36</v>
      </c>
      <c r="E573" s="9">
        <v>360</v>
      </c>
      <c r="F573">
        <v>2</v>
      </c>
    </row>
    <row r="574" spans="1:6" x14ac:dyDescent="0.35">
      <c r="A574" t="s">
        <v>3867</v>
      </c>
      <c r="B574" s="4" t="s">
        <v>2716</v>
      </c>
      <c r="C574" t="s">
        <v>3298</v>
      </c>
      <c r="D574">
        <v>8</v>
      </c>
      <c r="E574" s="9">
        <v>120</v>
      </c>
      <c r="F574">
        <v>3</v>
      </c>
    </row>
    <row r="575" spans="1:6" x14ac:dyDescent="0.35">
      <c r="A575" t="s">
        <v>3868</v>
      </c>
      <c r="B575" s="4" t="s">
        <v>954</v>
      </c>
      <c r="C575" t="s">
        <v>3294</v>
      </c>
      <c r="D575">
        <v>2</v>
      </c>
      <c r="E575" s="9">
        <v>60</v>
      </c>
      <c r="F575">
        <v>1</v>
      </c>
    </row>
    <row r="576" spans="1:6" x14ac:dyDescent="0.35">
      <c r="A576" t="s">
        <v>3869</v>
      </c>
      <c r="B576" s="4" t="s">
        <v>954</v>
      </c>
      <c r="C576" t="s">
        <v>3296</v>
      </c>
      <c r="D576">
        <v>33</v>
      </c>
      <c r="E576" s="9">
        <v>330</v>
      </c>
      <c r="F576">
        <v>2</v>
      </c>
    </row>
    <row r="577" spans="1:6" x14ac:dyDescent="0.35">
      <c r="A577" t="s">
        <v>3870</v>
      </c>
      <c r="B577" s="4" t="s">
        <v>954</v>
      </c>
      <c r="C577" t="s">
        <v>3298</v>
      </c>
      <c r="D577">
        <v>8</v>
      </c>
      <c r="E577" s="9">
        <v>120</v>
      </c>
      <c r="F577">
        <v>3</v>
      </c>
    </row>
    <row r="578" spans="1:6" x14ac:dyDescent="0.35">
      <c r="A578" t="s">
        <v>3871</v>
      </c>
      <c r="B578" s="4" t="s">
        <v>2727</v>
      </c>
      <c r="C578" t="s">
        <v>3292</v>
      </c>
      <c r="D578">
        <v>2</v>
      </c>
      <c r="E578" s="9">
        <v>50</v>
      </c>
      <c r="F578">
        <v>1</v>
      </c>
    </row>
    <row r="579" spans="1:6" x14ac:dyDescent="0.35">
      <c r="A579" t="s">
        <v>3872</v>
      </c>
      <c r="B579" s="4" t="s">
        <v>2727</v>
      </c>
      <c r="C579" t="s">
        <v>3296</v>
      </c>
      <c r="D579">
        <v>44</v>
      </c>
      <c r="E579" s="9">
        <v>440</v>
      </c>
      <c r="F579">
        <v>2</v>
      </c>
    </row>
    <row r="580" spans="1:6" x14ac:dyDescent="0.35">
      <c r="A580" t="s">
        <v>3873</v>
      </c>
      <c r="B580" s="4" t="s">
        <v>2727</v>
      </c>
      <c r="C580" t="s">
        <v>3298</v>
      </c>
      <c r="D580">
        <v>8</v>
      </c>
      <c r="E580" s="9">
        <v>120</v>
      </c>
      <c r="F580">
        <v>3</v>
      </c>
    </row>
    <row r="581" spans="1:6" x14ac:dyDescent="0.35">
      <c r="A581" t="s">
        <v>3874</v>
      </c>
      <c r="B581" s="4" t="s">
        <v>2732</v>
      </c>
      <c r="C581" t="s">
        <v>3296</v>
      </c>
      <c r="D581">
        <v>34</v>
      </c>
      <c r="E581" s="9">
        <v>340</v>
      </c>
      <c r="F581">
        <v>2</v>
      </c>
    </row>
    <row r="582" spans="1:6" x14ac:dyDescent="0.35">
      <c r="A582" t="s">
        <v>3875</v>
      </c>
      <c r="B582" s="4" t="s">
        <v>2732</v>
      </c>
      <c r="C582" t="s">
        <v>3298</v>
      </c>
      <c r="D582">
        <v>8</v>
      </c>
      <c r="E582" s="9">
        <v>120</v>
      </c>
      <c r="F582">
        <v>3</v>
      </c>
    </row>
    <row r="583" spans="1:6" x14ac:dyDescent="0.35">
      <c r="A583" t="s">
        <v>3876</v>
      </c>
      <c r="B583" s="4" t="s">
        <v>2738</v>
      </c>
      <c r="C583" t="s">
        <v>3292</v>
      </c>
      <c r="D583">
        <v>2</v>
      </c>
      <c r="E583" s="9">
        <v>50</v>
      </c>
      <c r="F583">
        <v>1</v>
      </c>
    </row>
    <row r="584" spans="1:6" x14ac:dyDescent="0.35">
      <c r="A584" t="s">
        <v>3877</v>
      </c>
      <c r="B584" s="4" t="s">
        <v>2738</v>
      </c>
      <c r="C584" t="s">
        <v>3296</v>
      </c>
      <c r="D584">
        <v>43</v>
      </c>
      <c r="E584" s="9">
        <v>430</v>
      </c>
      <c r="F584">
        <v>2</v>
      </c>
    </row>
    <row r="585" spans="1:6" x14ac:dyDescent="0.35">
      <c r="A585" t="s">
        <v>3878</v>
      </c>
      <c r="B585" s="4" t="s">
        <v>2738</v>
      </c>
      <c r="C585" t="s">
        <v>3298</v>
      </c>
      <c r="D585">
        <v>9</v>
      </c>
      <c r="E585" s="9">
        <v>135</v>
      </c>
      <c r="F585">
        <v>3</v>
      </c>
    </row>
    <row r="586" spans="1:6" x14ac:dyDescent="0.35">
      <c r="A586" t="s">
        <v>3879</v>
      </c>
      <c r="B586" s="4" t="s">
        <v>2755</v>
      </c>
      <c r="C586" t="s">
        <v>3292</v>
      </c>
      <c r="D586">
        <v>3</v>
      </c>
      <c r="E586" s="9">
        <v>75</v>
      </c>
      <c r="F586">
        <v>1</v>
      </c>
    </row>
    <row r="587" spans="1:6" x14ac:dyDescent="0.35">
      <c r="A587" t="s">
        <v>3880</v>
      </c>
      <c r="B587" s="4" t="s">
        <v>2755</v>
      </c>
      <c r="C587" t="s">
        <v>3296</v>
      </c>
      <c r="D587">
        <v>35</v>
      </c>
      <c r="E587" s="9">
        <v>350</v>
      </c>
      <c r="F587">
        <v>2</v>
      </c>
    </row>
    <row r="588" spans="1:6" x14ac:dyDescent="0.35">
      <c r="A588" t="s">
        <v>3881</v>
      </c>
      <c r="B588" s="4" t="s">
        <v>2755</v>
      </c>
      <c r="C588" t="s">
        <v>3298</v>
      </c>
      <c r="D588">
        <v>6</v>
      </c>
      <c r="E588" s="9">
        <v>90</v>
      </c>
      <c r="F588">
        <v>3</v>
      </c>
    </row>
    <row r="589" spans="1:6" x14ac:dyDescent="0.35">
      <c r="A589" t="s">
        <v>3882</v>
      </c>
      <c r="B589" s="4" t="s">
        <v>2760</v>
      </c>
      <c r="C589" t="s">
        <v>3292</v>
      </c>
      <c r="D589">
        <v>4</v>
      </c>
      <c r="E589" s="9">
        <v>100</v>
      </c>
      <c r="F589">
        <v>1</v>
      </c>
    </row>
    <row r="590" spans="1:6" x14ac:dyDescent="0.35">
      <c r="A590" t="s">
        <v>3883</v>
      </c>
      <c r="B590" s="4" t="s">
        <v>2760</v>
      </c>
      <c r="C590" t="s">
        <v>3296</v>
      </c>
      <c r="D590">
        <v>42</v>
      </c>
      <c r="E590" s="9">
        <v>420</v>
      </c>
      <c r="F590">
        <v>2</v>
      </c>
    </row>
    <row r="591" spans="1:6" x14ac:dyDescent="0.35">
      <c r="A591" t="s">
        <v>3884</v>
      </c>
      <c r="B591" s="4" t="s">
        <v>2760</v>
      </c>
      <c r="C591" t="s">
        <v>3298</v>
      </c>
      <c r="D591">
        <v>8</v>
      </c>
      <c r="E591" s="9">
        <v>120</v>
      </c>
      <c r="F591">
        <v>3</v>
      </c>
    </row>
    <row r="592" spans="1:6" x14ac:dyDescent="0.35">
      <c r="A592" t="s">
        <v>3885</v>
      </c>
      <c r="B592" s="4" t="s">
        <v>958</v>
      </c>
      <c r="C592" t="s">
        <v>3296</v>
      </c>
      <c r="D592">
        <v>37</v>
      </c>
      <c r="E592" s="9">
        <v>370</v>
      </c>
      <c r="F592">
        <v>2</v>
      </c>
    </row>
    <row r="593" spans="1:6" x14ac:dyDescent="0.35">
      <c r="A593" t="s">
        <v>3886</v>
      </c>
      <c r="B593" s="4" t="s">
        <v>958</v>
      </c>
      <c r="C593" t="s">
        <v>3298</v>
      </c>
      <c r="D593">
        <v>7</v>
      </c>
      <c r="E593" s="9">
        <v>105</v>
      </c>
      <c r="F593">
        <v>3</v>
      </c>
    </row>
    <row r="594" spans="1:6" x14ac:dyDescent="0.35">
      <c r="A594" t="s">
        <v>3887</v>
      </c>
      <c r="B594" s="4" t="s">
        <v>967</v>
      </c>
      <c r="C594" t="s">
        <v>3292</v>
      </c>
      <c r="D594">
        <v>4</v>
      </c>
      <c r="E594" s="9">
        <v>100</v>
      </c>
      <c r="F594">
        <v>1</v>
      </c>
    </row>
    <row r="595" spans="1:6" x14ac:dyDescent="0.35">
      <c r="A595" t="s">
        <v>3888</v>
      </c>
      <c r="B595" s="4" t="s">
        <v>967</v>
      </c>
      <c r="C595" t="s">
        <v>3296</v>
      </c>
      <c r="D595">
        <v>44</v>
      </c>
      <c r="E595" s="9">
        <v>440</v>
      </c>
      <c r="F595">
        <v>2</v>
      </c>
    </row>
    <row r="596" spans="1:6" x14ac:dyDescent="0.35">
      <c r="A596" t="s">
        <v>3889</v>
      </c>
      <c r="B596" s="4" t="s">
        <v>967</v>
      </c>
      <c r="C596" t="s">
        <v>3298</v>
      </c>
      <c r="D596">
        <v>6</v>
      </c>
      <c r="E596" s="9">
        <v>90</v>
      </c>
      <c r="F596">
        <v>3</v>
      </c>
    </row>
    <row r="597" spans="1:6" x14ac:dyDescent="0.35">
      <c r="A597" t="s">
        <v>3890</v>
      </c>
      <c r="B597" s="4" t="s">
        <v>2776</v>
      </c>
      <c r="C597" t="s">
        <v>3292</v>
      </c>
      <c r="D597">
        <v>4</v>
      </c>
      <c r="E597" s="9">
        <v>100</v>
      </c>
      <c r="F597">
        <v>1</v>
      </c>
    </row>
    <row r="598" spans="1:6" x14ac:dyDescent="0.35">
      <c r="A598" t="s">
        <v>3891</v>
      </c>
      <c r="B598" s="4" t="s">
        <v>2776</v>
      </c>
      <c r="C598" t="s">
        <v>3296</v>
      </c>
      <c r="D598">
        <v>40</v>
      </c>
      <c r="E598" s="9">
        <v>400</v>
      </c>
      <c r="F598">
        <v>2</v>
      </c>
    </row>
    <row r="599" spans="1:6" x14ac:dyDescent="0.35">
      <c r="A599" t="s">
        <v>3892</v>
      </c>
      <c r="B599" s="4" t="s">
        <v>2776</v>
      </c>
      <c r="C599" t="s">
        <v>3298</v>
      </c>
      <c r="D599">
        <v>9</v>
      </c>
      <c r="E599" s="9">
        <v>135</v>
      </c>
      <c r="F599">
        <v>3</v>
      </c>
    </row>
    <row r="600" spans="1:6" x14ac:dyDescent="0.35">
      <c r="A600" t="s">
        <v>3893</v>
      </c>
      <c r="B600" s="4" t="s">
        <v>2791</v>
      </c>
      <c r="C600" t="s">
        <v>3294</v>
      </c>
      <c r="D600">
        <v>3</v>
      </c>
      <c r="E600" s="9">
        <v>90</v>
      </c>
      <c r="F600">
        <v>1</v>
      </c>
    </row>
    <row r="601" spans="1:6" x14ac:dyDescent="0.35">
      <c r="A601" t="s">
        <v>3894</v>
      </c>
      <c r="B601" s="4" t="s">
        <v>2791</v>
      </c>
      <c r="C601" t="s">
        <v>3296</v>
      </c>
      <c r="D601">
        <v>39</v>
      </c>
      <c r="E601" s="9">
        <v>390</v>
      </c>
      <c r="F601">
        <v>2</v>
      </c>
    </row>
    <row r="602" spans="1:6" x14ac:dyDescent="0.35">
      <c r="A602" t="s">
        <v>3895</v>
      </c>
      <c r="B602" s="4" t="s">
        <v>2791</v>
      </c>
      <c r="C602" t="s">
        <v>3298</v>
      </c>
      <c r="D602">
        <v>7</v>
      </c>
      <c r="E602" s="9">
        <v>105</v>
      </c>
      <c r="F602">
        <v>3</v>
      </c>
    </row>
    <row r="603" spans="1:6" x14ac:dyDescent="0.35">
      <c r="A603" t="s">
        <v>3896</v>
      </c>
      <c r="B603" s="4" t="s">
        <v>2797</v>
      </c>
      <c r="C603" t="s">
        <v>3294</v>
      </c>
      <c r="D603">
        <v>3</v>
      </c>
      <c r="E603" s="9">
        <v>90</v>
      </c>
      <c r="F603">
        <v>1</v>
      </c>
    </row>
    <row r="604" spans="1:6" x14ac:dyDescent="0.35">
      <c r="A604" t="s">
        <v>3897</v>
      </c>
      <c r="B604" s="4" t="s">
        <v>2797</v>
      </c>
      <c r="C604" t="s">
        <v>3296</v>
      </c>
      <c r="D604">
        <v>35</v>
      </c>
      <c r="E604" s="9">
        <v>350</v>
      </c>
      <c r="F604">
        <v>2</v>
      </c>
    </row>
    <row r="605" spans="1:6" x14ac:dyDescent="0.35">
      <c r="A605" t="s">
        <v>3898</v>
      </c>
      <c r="B605" s="4" t="s">
        <v>2797</v>
      </c>
      <c r="C605" t="s">
        <v>3298</v>
      </c>
      <c r="D605">
        <v>9</v>
      </c>
      <c r="E605" s="9">
        <v>135</v>
      </c>
      <c r="F605">
        <v>3</v>
      </c>
    </row>
    <row r="606" spans="1:6" x14ac:dyDescent="0.35">
      <c r="A606" t="s">
        <v>3899</v>
      </c>
      <c r="B606" s="4" t="s">
        <v>2804</v>
      </c>
      <c r="C606" t="s">
        <v>3296</v>
      </c>
      <c r="D606">
        <v>33</v>
      </c>
      <c r="E606" s="9">
        <v>330</v>
      </c>
      <c r="F606">
        <v>2</v>
      </c>
    </row>
    <row r="607" spans="1:6" x14ac:dyDescent="0.35">
      <c r="A607" t="s">
        <v>3900</v>
      </c>
      <c r="B607" s="4" t="s">
        <v>2804</v>
      </c>
      <c r="C607" t="s">
        <v>3298</v>
      </c>
      <c r="D607">
        <v>7</v>
      </c>
      <c r="E607" s="9">
        <v>105</v>
      </c>
      <c r="F607">
        <v>3</v>
      </c>
    </row>
    <row r="608" spans="1:6" x14ac:dyDescent="0.35">
      <c r="A608" t="s">
        <v>3901</v>
      </c>
      <c r="B608" s="4" t="s">
        <v>2809</v>
      </c>
      <c r="C608" t="s">
        <v>3296</v>
      </c>
      <c r="D608">
        <v>43</v>
      </c>
      <c r="E608" s="9">
        <v>430</v>
      </c>
      <c r="F608">
        <v>2</v>
      </c>
    </row>
    <row r="609" spans="1:6" x14ac:dyDescent="0.35">
      <c r="A609" t="s">
        <v>3902</v>
      </c>
      <c r="B609" s="4" t="s">
        <v>2809</v>
      </c>
      <c r="C609" t="s">
        <v>3298</v>
      </c>
      <c r="D609">
        <v>9</v>
      </c>
      <c r="E609" s="9">
        <v>135</v>
      </c>
      <c r="F609">
        <v>3</v>
      </c>
    </row>
    <row r="610" spans="1:6" x14ac:dyDescent="0.35">
      <c r="A610" t="s">
        <v>3903</v>
      </c>
      <c r="B610" s="4" t="s">
        <v>2815</v>
      </c>
      <c r="C610" t="s">
        <v>3292</v>
      </c>
      <c r="D610">
        <v>5</v>
      </c>
      <c r="E610" s="9">
        <v>125</v>
      </c>
      <c r="F610">
        <v>1</v>
      </c>
    </row>
    <row r="611" spans="1:6" x14ac:dyDescent="0.35">
      <c r="A611" t="s">
        <v>3904</v>
      </c>
      <c r="B611" s="4" t="s">
        <v>2815</v>
      </c>
      <c r="C611" t="s">
        <v>3296</v>
      </c>
      <c r="D611">
        <v>33</v>
      </c>
      <c r="E611" s="9">
        <v>330</v>
      </c>
      <c r="F611">
        <v>2</v>
      </c>
    </row>
    <row r="612" spans="1:6" x14ac:dyDescent="0.35">
      <c r="A612" t="s">
        <v>3905</v>
      </c>
      <c r="B612" s="4" t="s">
        <v>2815</v>
      </c>
      <c r="C612" t="s">
        <v>3298</v>
      </c>
      <c r="D612">
        <v>5</v>
      </c>
      <c r="E612" s="9">
        <v>75</v>
      </c>
      <c r="F612">
        <v>3</v>
      </c>
    </row>
    <row r="613" spans="1:6" x14ac:dyDescent="0.35">
      <c r="A613" t="s">
        <v>3906</v>
      </c>
      <c r="B613" s="4" t="s">
        <v>2832</v>
      </c>
      <c r="C613" t="s">
        <v>3292</v>
      </c>
      <c r="D613">
        <v>2</v>
      </c>
      <c r="E613" s="9">
        <v>50</v>
      </c>
      <c r="F613">
        <v>1</v>
      </c>
    </row>
    <row r="614" spans="1:6" x14ac:dyDescent="0.35">
      <c r="A614" t="s">
        <v>3907</v>
      </c>
      <c r="B614" s="4" t="s">
        <v>2832</v>
      </c>
      <c r="C614" t="s">
        <v>3296</v>
      </c>
      <c r="D614">
        <v>36</v>
      </c>
      <c r="E614" s="9">
        <v>360</v>
      </c>
      <c r="F614">
        <v>2</v>
      </c>
    </row>
    <row r="615" spans="1:6" x14ac:dyDescent="0.35">
      <c r="A615" t="s">
        <v>3908</v>
      </c>
      <c r="B615" s="4" t="s">
        <v>2832</v>
      </c>
      <c r="C615" t="s">
        <v>3298</v>
      </c>
      <c r="D615">
        <v>7</v>
      </c>
      <c r="E615" s="9">
        <v>105</v>
      </c>
      <c r="F615">
        <v>3</v>
      </c>
    </row>
    <row r="616" spans="1:6" x14ac:dyDescent="0.35">
      <c r="A616" t="s">
        <v>3909</v>
      </c>
      <c r="B616" s="4" t="s">
        <v>970</v>
      </c>
      <c r="C616" t="s">
        <v>3294</v>
      </c>
      <c r="D616">
        <v>2</v>
      </c>
      <c r="E616" s="9">
        <v>60</v>
      </c>
      <c r="F616">
        <v>1</v>
      </c>
    </row>
    <row r="617" spans="1:6" x14ac:dyDescent="0.35">
      <c r="A617" t="s">
        <v>3910</v>
      </c>
      <c r="B617" s="4" t="s">
        <v>970</v>
      </c>
      <c r="C617" t="s">
        <v>3296</v>
      </c>
      <c r="D617">
        <v>38</v>
      </c>
      <c r="E617" s="9">
        <v>380</v>
      </c>
      <c r="F617">
        <v>2</v>
      </c>
    </row>
    <row r="618" spans="1:6" x14ac:dyDescent="0.35">
      <c r="A618" t="s">
        <v>3911</v>
      </c>
      <c r="B618" s="4" t="s">
        <v>970</v>
      </c>
      <c r="C618" t="s">
        <v>3298</v>
      </c>
      <c r="D618">
        <v>6</v>
      </c>
      <c r="E618" s="9">
        <v>90</v>
      </c>
      <c r="F618">
        <v>3</v>
      </c>
    </row>
    <row r="619" spans="1:6" x14ac:dyDescent="0.35">
      <c r="A619" t="s">
        <v>3912</v>
      </c>
      <c r="B619" s="4" t="s">
        <v>977</v>
      </c>
      <c r="C619" t="s">
        <v>3296</v>
      </c>
      <c r="D619">
        <v>39</v>
      </c>
      <c r="E619" s="9">
        <v>390</v>
      </c>
      <c r="F619">
        <v>2</v>
      </c>
    </row>
    <row r="620" spans="1:6" x14ac:dyDescent="0.35">
      <c r="A620" t="s">
        <v>3913</v>
      </c>
      <c r="B620" s="4" t="s">
        <v>977</v>
      </c>
      <c r="C620" t="s">
        <v>3298</v>
      </c>
      <c r="D620">
        <v>6</v>
      </c>
      <c r="E620" s="9">
        <v>90</v>
      </c>
      <c r="F620">
        <v>3</v>
      </c>
    </row>
    <row r="621" spans="1:6" x14ac:dyDescent="0.35">
      <c r="A621" t="s">
        <v>3914</v>
      </c>
      <c r="B621" s="4" t="s">
        <v>982</v>
      </c>
      <c r="C621" t="s">
        <v>3294</v>
      </c>
      <c r="D621">
        <v>2</v>
      </c>
      <c r="E621" s="9">
        <v>60</v>
      </c>
      <c r="F621">
        <v>1</v>
      </c>
    </row>
    <row r="622" spans="1:6" x14ac:dyDescent="0.35">
      <c r="A622" t="s">
        <v>3915</v>
      </c>
      <c r="B622" s="4" t="s">
        <v>982</v>
      </c>
      <c r="C622" t="s">
        <v>3296</v>
      </c>
      <c r="D622">
        <v>33</v>
      </c>
      <c r="E622" s="9">
        <v>330</v>
      </c>
      <c r="F622">
        <v>2</v>
      </c>
    </row>
    <row r="623" spans="1:6" x14ac:dyDescent="0.35">
      <c r="A623" t="s">
        <v>3916</v>
      </c>
      <c r="B623" s="4" t="s">
        <v>982</v>
      </c>
      <c r="C623" t="s">
        <v>3298</v>
      </c>
      <c r="D623">
        <v>9</v>
      </c>
      <c r="E623" s="9">
        <v>135</v>
      </c>
      <c r="F623">
        <v>3</v>
      </c>
    </row>
    <row r="624" spans="1:6" x14ac:dyDescent="0.35">
      <c r="A624" t="s">
        <v>3917</v>
      </c>
      <c r="B624" s="4" t="s">
        <v>993</v>
      </c>
      <c r="C624" t="s">
        <v>3296</v>
      </c>
      <c r="D624">
        <v>37</v>
      </c>
      <c r="E624" s="9">
        <v>370</v>
      </c>
      <c r="F624">
        <v>2</v>
      </c>
    </row>
    <row r="625" spans="1:6" x14ac:dyDescent="0.35">
      <c r="A625" t="s">
        <v>3918</v>
      </c>
      <c r="B625" s="4" t="s">
        <v>993</v>
      </c>
      <c r="C625" t="s">
        <v>3298</v>
      </c>
      <c r="D625">
        <v>9</v>
      </c>
      <c r="E625" s="9">
        <v>135</v>
      </c>
      <c r="F625">
        <v>3</v>
      </c>
    </row>
    <row r="626" spans="1:6" x14ac:dyDescent="0.35">
      <c r="A626" t="s">
        <v>3919</v>
      </c>
      <c r="B626" s="4" t="s">
        <v>1006</v>
      </c>
      <c r="C626" t="s">
        <v>3292</v>
      </c>
      <c r="D626">
        <v>4</v>
      </c>
      <c r="E626" s="9">
        <v>100</v>
      </c>
      <c r="F626">
        <v>1</v>
      </c>
    </row>
    <row r="627" spans="1:6" x14ac:dyDescent="0.35">
      <c r="A627" t="s">
        <v>3920</v>
      </c>
      <c r="B627" s="4" t="s">
        <v>1006</v>
      </c>
      <c r="C627" t="s">
        <v>3296</v>
      </c>
      <c r="D627">
        <v>31</v>
      </c>
      <c r="E627" s="9">
        <v>310</v>
      </c>
      <c r="F627">
        <v>2</v>
      </c>
    </row>
    <row r="628" spans="1:6" x14ac:dyDescent="0.35">
      <c r="A628" t="s">
        <v>3921</v>
      </c>
      <c r="B628" s="4" t="s">
        <v>1006</v>
      </c>
      <c r="C628" t="s">
        <v>3298</v>
      </c>
      <c r="D628">
        <v>8</v>
      </c>
      <c r="E628" s="9">
        <v>120</v>
      </c>
      <c r="F628">
        <v>3</v>
      </c>
    </row>
    <row r="629" spans="1:6" x14ac:dyDescent="0.35">
      <c r="A629" t="s">
        <v>3922</v>
      </c>
      <c r="B629" s="4" t="s">
        <v>1012</v>
      </c>
      <c r="C629" t="s">
        <v>3292</v>
      </c>
      <c r="D629">
        <v>4</v>
      </c>
      <c r="E629" s="9">
        <v>100</v>
      </c>
      <c r="F629">
        <v>1</v>
      </c>
    </row>
    <row r="630" spans="1:6" x14ac:dyDescent="0.35">
      <c r="A630" t="s">
        <v>3923</v>
      </c>
      <c r="B630" s="4" t="s">
        <v>1012</v>
      </c>
      <c r="C630" t="s">
        <v>3296</v>
      </c>
      <c r="D630">
        <v>31</v>
      </c>
      <c r="E630" s="9">
        <v>310</v>
      </c>
      <c r="F630">
        <v>2</v>
      </c>
    </row>
    <row r="631" spans="1:6" x14ac:dyDescent="0.35">
      <c r="A631" t="s">
        <v>3924</v>
      </c>
      <c r="B631" s="4" t="s">
        <v>1012</v>
      </c>
      <c r="C631" t="s">
        <v>3298</v>
      </c>
      <c r="D631">
        <v>5</v>
      </c>
      <c r="E631" s="9">
        <v>75</v>
      </c>
      <c r="F631">
        <v>3</v>
      </c>
    </row>
    <row r="632" spans="1:6" x14ac:dyDescent="0.35">
      <c r="A632" t="s">
        <v>3925</v>
      </c>
      <c r="B632" s="4" t="s">
        <v>1024</v>
      </c>
      <c r="C632" t="s">
        <v>3294</v>
      </c>
      <c r="D632">
        <v>2</v>
      </c>
      <c r="E632" s="9">
        <v>60</v>
      </c>
      <c r="F632">
        <v>1</v>
      </c>
    </row>
    <row r="633" spans="1:6" x14ac:dyDescent="0.35">
      <c r="A633" t="s">
        <v>3926</v>
      </c>
      <c r="B633" s="4" t="s">
        <v>1024</v>
      </c>
      <c r="C633" t="s">
        <v>3296</v>
      </c>
      <c r="D633">
        <v>37</v>
      </c>
      <c r="E633" s="9">
        <v>370</v>
      </c>
      <c r="F633">
        <v>2</v>
      </c>
    </row>
    <row r="634" spans="1:6" x14ac:dyDescent="0.35">
      <c r="A634" t="s">
        <v>3927</v>
      </c>
      <c r="B634" s="4" t="s">
        <v>1024</v>
      </c>
      <c r="C634" t="s">
        <v>3298</v>
      </c>
      <c r="D634">
        <v>7</v>
      </c>
      <c r="E634" s="9">
        <v>105</v>
      </c>
      <c r="F634">
        <v>3</v>
      </c>
    </row>
    <row r="635" spans="1:6" x14ac:dyDescent="0.35">
      <c r="A635" t="s">
        <v>3928</v>
      </c>
      <c r="B635" s="4" t="s">
        <v>1031</v>
      </c>
      <c r="C635" t="s">
        <v>3296</v>
      </c>
      <c r="D635">
        <v>36</v>
      </c>
      <c r="E635" s="9">
        <v>360</v>
      </c>
      <c r="F635">
        <v>2</v>
      </c>
    </row>
    <row r="636" spans="1:6" x14ac:dyDescent="0.35">
      <c r="A636" t="s">
        <v>3929</v>
      </c>
      <c r="B636" s="4" t="s">
        <v>1031</v>
      </c>
      <c r="C636" t="s">
        <v>3298</v>
      </c>
      <c r="D636">
        <v>6</v>
      </c>
      <c r="E636" s="9">
        <v>90</v>
      </c>
      <c r="F636">
        <v>3</v>
      </c>
    </row>
    <row r="637" spans="1:6" x14ac:dyDescent="0.35">
      <c r="A637" t="s">
        <v>3930</v>
      </c>
      <c r="B637" s="4" t="s">
        <v>1036</v>
      </c>
      <c r="C637" t="s">
        <v>3292</v>
      </c>
      <c r="D637">
        <v>3</v>
      </c>
      <c r="E637" s="9">
        <v>75</v>
      </c>
      <c r="F637">
        <v>1</v>
      </c>
    </row>
    <row r="638" spans="1:6" x14ac:dyDescent="0.35">
      <c r="A638" t="s">
        <v>3931</v>
      </c>
      <c r="B638" s="4" t="s">
        <v>1036</v>
      </c>
      <c r="C638" t="s">
        <v>3296</v>
      </c>
      <c r="D638">
        <v>32</v>
      </c>
      <c r="E638" s="9">
        <v>320</v>
      </c>
      <c r="F638">
        <v>2</v>
      </c>
    </row>
    <row r="639" spans="1:6" x14ac:dyDescent="0.35">
      <c r="A639" t="s">
        <v>3932</v>
      </c>
      <c r="B639" s="4" t="s">
        <v>1036</v>
      </c>
      <c r="C639" t="s">
        <v>3298</v>
      </c>
      <c r="D639">
        <v>6</v>
      </c>
      <c r="E639" s="9">
        <v>90</v>
      </c>
      <c r="F639">
        <v>3</v>
      </c>
    </row>
    <row r="640" spans="1:6" x14ac:dyDescent="0.35">
      <c r="A640" t="s">
        <v>3933</v>
      </c>
      <c r="B640" s="4" t="s">
        <v>2900</v>
      </c>
      <c r="C640" t="s">
        <v>3296</v>
      </c>
      <c r="D640">
        <v>33</v>
      </c>
      <c r="E640" s="9">
        <v>330</v>
      </c>
      <c r="F640">
        <v>2</v>
      </c>
    </row>
    <row r="641" spans="1:6" x14ac:dyDescent="0.35">
      <c r="A641" t="s">
        <v>3934</v>
      </c>
      <c r="B641" s="4" t="s">
        <v>2900</v>
      </c>
      <c r="C641" t="s">
        <v>3298</v>
      </c>
      <c r="D641">
        <v>8</v>
      </c>
      <c r="E641" s="9">
        <v>120</v>
      </c>
      <c r="F641">
        <v>3</v>
      </c>
    </row>
    <row r="642" spans="1:6" x14ac:dyDescent="0.35">
      <c r="A642" t="s">
        <v>3935</v>
      </c>
      <c r="B642" s="4" t="s">
        <v>1049</v>
      </c>
      <c r="C642" t="s">
        <v>3292</v>
      </c>
      <c r="D642">
        <v>4</v>
      </c>
      <c r="E642" s="9">
        <v>100</v>
      </c>
      <c r="F642">
        <v>1</v>
      </c>
    </row>
    <row r="643" spans="1:6" x14ac:dyDescent="0.35">
      <c r="A643" t="s">
        <v>3936</v>
      </c>
      <c r="B643" s="4" t="s">
        <v>1049</v>
      </c>
      <c r="C643" t="s">
        <v>3296</v>
      </c>
      <c r="D643">
        <v>34</v>
      </c>
      <c r="E643" s="9">
        <v>340</v>
      </c>
      <c r="F643">
        <v>2</v>
      </c>
    </row>
    <row r="644" spans="1:6" x14ac:dyDescent="0.35">
      <c r="A644" t="s">
        <v>3937</v>
      </c>
      <c r="B644" s="4" t="s">
        <v>1049</v>
      </c>
      <c r="C644" t="s">
        <v>3298</v>
      </c>
      <c r="D644">
        <v>6</v>
      </c>
      <c r="E644" s="9">
        <v>90</v>
      </c>
      <c r="F644">
        <v>3</v>
      </c>
    </row>
    <row r="645" spans="1:6" x14ac:dyDescent="0.35">
      <c r="A645" t="s">
        <v>3938</v>
      </c>
      <c r="B645" s="4" t="s">
        <v>1056</v>
      </c>
      <c r="C645" t="s">
        <v>3294</v>
      </c>
      <c r="D645">
        <v>2</v>
      </c>
      <c r="E645" s="9">
        <v>60</v>
      </c>
      <c r="F645">
        <v>1</v>
      </c>
    </row>
    <row r="646" spans="1:6" x14ac:dyDescent="0.35">
      <c r="A646" t="s">
        <v>3939</v>
      </c>
      <c r="B646" s="4" t="s">
        <v>1056</v>
      </c>
      <c r="C646" t="s">
        <v>3296</v>
      </c>
      <c r="D646">
        <v>44</v>
      </c>
      <c r="E646" s="9">
        <v>440</v>
      </c>
      <c r="F646">
        <v>2</v>
      </c>
    </row>
    <row r="647" spans="1:6" x14ac:dyDescent="0.35">
      <c r="A647" t="s">
        <v>3940</v>
      </c>
      <c r="B647" s="4" t="s">
        <v>1056</v>
      </c>
      <c r="C647" t="s">
        <v>3298</v>
      </c>
      <c r="D647">
        <v>6</v>
      </c>
      <c r="E647" s="9">
        <v>90</v>
      </c>
      <c r="F647">
        <v>3</v>
      </c>
    </row>
    <row r="648" spans="1:6" x14ac:dyDescent="0.35">
      <c r="A648" t="s">
        <v>3941</v>
      </c>
      <c r="B648" s="4" t="s">
        <v>1060</v>
      </c>
      <c r="C648" t="s">
        <v>3292</v>
      </c>
      <c r="D648">
        <v>4</v>
      </c>
      <c r="E648" s="9">
        <v>100</v>
      </c>
      <c r="F648">
        <v>1</v>
      </c>
    </row>
    <row r="649" spans="1:6" x14ac:dyDescent="0.35">
      <c r="A649" t="s">
        <v>3942</v>
      </c>
      <c r="B649" s="4" t="s">
        <v>1060</v>
      </c>
      <c r="C649" t="s">
        <v>3296</v>
      </c>
      <c r="D649">
        <v>39</v>
      </c>
      <c r="E649" s="9">
        <v>390</v>
      </c>
      <c r="F649">
        <v>2</v>
      </c>
    </row>
    <row r="650" spans="1:6" x14ac:dyDescent="0.35">
      <c r="A650" t="s">
        <v>3943</v>
      </c>
      <c r="B650" s="4" t="s">
        <v>1060</v>
      </c>
      <c r="C650" t="s">
        <v>3298</v>
      </c>
      <c r="D650">
        <v>8</v>
      </c>
      <c r="E650" s="9">
        <v>120</v>
      </c>
      <c r="F650">
        <v>3</v>
      </c>
    </row>
    <row r="651" spans="1:6" x14ac:dyDescent="0.35">
      <c r="A651" t="s">
        <v>3944</v>
      </c>
      <c r="B651" s="4" t="s">
        <v>1064</v>
      </c>
      <c r="C651" t="s">
        <v>3296</v>
      </c>
      <c r="D651">
        <v>32</v>
      </c>
      <c r="E651" s="9">
        <v>320</v>
      </c>
      <c r="F651">
        <v>2</v>
      </c>
    </row>
    <row r="652" spans="1:6" x14ac:dyDescent="0.35">
      <c r="A652" t="s">
        <v>3945</v>
      </c>
      <c r="B652" s="4" t="s">
        <v>1064</v>
      </c>
      <c r="C652" t="s">
        <v>3298</v>
      </c>
      <c r="D652">
        <v>7</v>
      </c>
      <c r="E652" s="9">
        <v>105</v>
      </c>
      <c r="F652">
        <v>3</v>
      </c>
    </row>
    <row r="653" spans="1:6" x14ac:dyDescent="0.35">
      <c r="A653" t="s">
        <v>3946</v>
      </c>
      <c r="B653" s="4" t="s">
        <v>2930</v>
      </c>
      <c r="C653" t="s">
        <v>3296</v>
      </c>
      <c r="D653">
        <v>32</v>
      </c>
      <c r="E653" s="9">
        <v>320</v>
      </c>
      <c r="F653">
        <v>2</v>
      </c>
    </row>
    <row r="654" spans="1:6" x14ac:dyDescent="0.35">
      <c r="A654" t="s">
        <v>3947</v>
      </c>
      <c r="B654" s="4" t="s">
        <v>2930</v>
      </c>
      <c r="C654" t="s">
        <v>3298</v>
      </c>
      <c r="D654">
        <v>9</v>
      </c>
      <c r="E654" s="9">
        <v>135</v>
      </c>
      <c r="F654">
        <v>3</v>
      </c>
    </row>
    <row r="655" spans="1:6" x14ac:dyDescent="0.35">
      <c r="A655" t="s">
        <v>3948</v>
      </c>
      <c r="B655" s="4" t="s">
        <v>2936</v>
      </c>
      <c r="C655" t="s">
        <v>3292</v>
      </c>
      <c r="D655">
        <v>5</v>
      </c>
      <c r="E655" s="9">
        <v>125</v>
      </c>
      <c r="F655">
        <v>1</v>
      </c>
    </row>
    <row r="656" spans="1:6" x14ac:dyDescent="0.35">
      <c r="A656" t="s">
        <v>3949</v>
      </c>
      <c r="B656" s="4" t="s">
        <v>2936</v>
      </c>
      <c r="C656" t="s">
        <v>3294</v>
      </c>
      <c r="D656">
        <v>1</v>
      </c>
      <c r="E656" s="9">
        <v>30</v>
      </c>
      <c r="F656">
        <v>1</v>
      </c>
    </row>
    <row r="657" spans="1:6" x14ac:dyDescent="0.35">
      <c r="A657" t="s">
        <v>3950</v>
      </c>
      <c r="B657" s="4" t="s">
        <v>2936</v>
      </c>
      <c r="C657" t="s">
        <v>3296</v>
      </c>
      <c r="D657">
        <v>36</v>
      </c>
      <c r="E657" s="9">
        <v>360</v>
      </c>
      <c r="F657">
        <v>2</v>
      </c>
    </row>
    <row r="658" spans="1:6" x14ac:dyDescent="0.35">
      <c r="A658" t="s">
        <v>3951</v>
      </c>
      <c r="B658" s="4" t="s">
        <v>2936</v>
      </c>
      <c r="C658" t="s">
        <v>3298</v>
      </c>
      <c r="D658">
        <v>7</v>
      </c>
      <c r="E658" s="9">
        <v>105</v>
      </c>
      <c r="F658">
        <v>3</v>
      </c>
    </row>
    <row r="659" spans="1:6" x14ac:dyDescent="0.35">
      <c r="A659" t="s">
        <v>3952</v>
      </c>
      <c r="B659" s="4" t="s">
        <v>2941</v>
      </c>
      <c r="C659" t="s">
        <v>3292</v>
      </c>
      <c r="D659">
        <v>4</v>
      </c>
      <c r="E659" s="9">
        <v>100</v>
      </c>
      <c r="F659">
        <v>1</v>
      </c>
    </row>
    <row r="660" spans="1:6" x14ac:dyDescent="0.35">
      <c r="A660" t="s">
        <v>3953</v>
      </c>
      <c r="B660" s="4" t="s">
        <v>2941</v>
      </c>
      <c r="C660" t="s">
        <v>3294</v>
      </c>
      <c r="D660">
        <v>3</v>
      </c>
      <c r="E660" s="9">
        <v>90</v>
      </c>
      <c r="F660">
        <v>1</v>
      </c>
    </row>
    <row r="661" spans="1:6" x14ac:dyDescent="0.35">
      <c r="A661" t="s">
        <v>3954</v>
      </c>
      <c r="B661" s="4" t="s">
        <v>2941</v>
      </c>
      <c r="C661" t="s">
        <v>3296</v>
      </c>
      <c r="D661">
        <v>45</v>
      </c>
      <c r="E661" s="9">
        <v>450</v>
      </c>
      <c r="F661">
        <v>2</v>
      </c>
    </row>
    <row r="662" spans="1:6" x14ac:dyDescent="0.35">
      <c r="A662" t="s">
        <v>3955</v>
      </c>
      <c r="B662" s="4" t="s">
        <v>2941</v>
      </c>
      <c r="C662" t="s">
        <v>3298</v>
      </c>
      <c r="D662">
        <v>9</v>
      </c>
      <c r="E662" s="9">
        <v>135</v>
      </c>
      <c r="F662">
        <v>3</v>
      </c>
    </row>
    <row r="663" spans="1:6" x14ac:dyDescent="0.35">
      <c r="A663" t="s">
        <v>3956</v>
      </c>
      <c r="B663" s="4" t="s">
        <v>2946</v>
      </c>
      <c r="C663" t="s">
        <v>3296</v>
      </c>
      <c r="D663">
        <v>30</v>
      </c>
      <c r="E663" s="9">
        <v>300</v>
      </c>
      <c r="F663">
        <v>2</v>
      </c>
    </row>
    <row r="664" spans="1:6" x14ac:dyDescent="0.35">
      <c r="A664" t="s">
        <v>3957</v>
      </c>
      <c r="B664" s="4" t="s">
        <v>2946</v>
      </c>
      <c r="C664" t="s">
        <v>3298</v>
      </c>
      <c r="D664">
        <v>5</v>
      </c>
      <c r="E664" s="9">
        <v>75</v>
      </c>
      <c r="F664">
        <v>3</v>
      </c>
    </row>
    <row r="665" spans="1:6" x14ac:dyDescent="0.35">
      <c r="A665" t="s">
        <v>3958</v>
      </c>
      <c r="B665" s="4" t="s">
        <v>1069</v>
      </c>
      <c r="C665" t="s">
        <v>3296</v>
      </c>
      <c r="D665">
        <v>37</v>
      </c>
      <c r="E665" s="9">
        <v>370</v>
      </c>
      <c r="F665">
        <v>2</v>
      </c>
    </row>
    <row r="666" spans="1:6" x14ac:dyDescent="0.35">
      <c r="A666" t="s">
        <v>3959</v>
      </c>
      <c r="B666" s="4" t="s">
        <v>1069</v>
      </c>
      <c r="C666" t="s">
        <v>3298</v>
      </c>
      <c r="D666">
        <v>5</v>
      </c>
      <c r="E666" s="9">
        <v>75</v>
      </c>
      <c r="F666">
        <v>3</v>
      </c>
    </row>
    <row r="667" spans="1:6" x14ac:dyDescent="0.35">
      <c r="A667" t="s">
        <v>3960</v>
      </c>
      <c r="B667" s="4" t="s">
        <v>2966</v>
      </c>
      <c r="C667" t="s">
        <v>3294</v>
      </c>
      <c r="D667">
        <v>1</v>
      </c>
      <c r="E667" s="9">
        <v>30</v>
      </c>
      <c r="F667">
        <v>1</v>
      </c>
    </row>
    <row r="668" spans="1:6" x14ac:dyDescent="0.35">
      <c r="A668" t="s">
        <v>3961</v>
      </c>
      <c r="B668" s="4" t="s">
        <v>2966</v>
      </c>
      <c r="C668" t="s">
        <v>3296</v>
      </c>
      <c r="D668">
        <v>42</v>
      </c>
      <c r="E668" s="9">
        <v>420</v>
      </c>
      <c r="F668">
        <v>2</v>
      </c>
    </row>
    <row r="669" spans="1:6" x14ac:dyDescent="0.35">
      <c r="A669" t="s">
        <v>3962</v>
      </c>
      <c r="B669" s="4" t="s">
        <v>2966</v>
      </c>
      <c r="C669" t="s">
        <v>3298</v>
      </c>
      <c r="D669">
        <v>7</v>
      </c>
      <c r="E669" s="9">
        <v>105</v>
      </c>
      <c r="F669">
        <v>3</v>
      </c>
    </row>
    <row r="670" spans="1:6" x14ac:dyDescent="0.35">
      <c r="A670" t="s">
        <v>3963</v>
      </c>
      <c r="B670" s="4" t="s">
        <v>1080</v>
      </c>
      <c r="C670" t="s">
        <v>3294</v>
      </c>
      <c r="D670">
        <v>3</v>
      </c>
      <c r="E670" s="9">
        <v>90</v>
      </c>
      <c r="F670">
        <v>1</v>
      </c>
    </row>
    <row r="671" spans="1:6" x14ac:dyDescent="0.35">
      <c r="A671" t="s">
        <v>3964</v>
      </c>
      <c r="B671" s="4" t="s">
        <v>1080</v>
      </c>
      <c r="C671" t="s">
        <v>3296</v>
      </c>
      <c r="D671">
        <v>41</v>
      </c>
      <c r="E671" s="9">
        <v>410</v>
      </c>
      <c r="F671">
        <v>2</v>
      </c>
    </row>
    <row r="672" spans="1:6" x14ac:dyDescent="0.35">
      <c r="A672" t="s">
        <v>3965</v>
      </c>
      <c r="B672" s="4" t="s">
        <v>1080</v>
      </c>
      <c r="C672" t="s">
        <v>3298</v>
      </c>
      <c r="D672">
        <v>9</v>
      </c>
      <c r="E672" s="9">
        <v>135</v>
      </c>
      <c r="F672">
        <v>3</v>
      </c>
    </row>
    <row r="673" spans="1:6" x14ac:dyDescent="0.35">
      <c r="A673" t="s">
        <v>3966</v>
      </c>
      <c r="B673" s="4" t="s">
        <v>2976</v>
      </c>
      <c r="C673" t="s">
        <v>3296</v>
      </c>
      <c r="D673">
        <v>31</v>
      </c>
      <c r="E673" s="9">
        <v>310</v>
      </c>
      <c r="F673">
        <v>2</v>
      </c>
    </row>
    <row r="674" spans="1:6" x14ac:dyDescent="0.35">
      <c r="A674" t="s">
        <v>3967</v>
      </c>
      <c r="B674" s="4" t="s">
        <v>2976</v>
      </c>
      <c r="C674" t="s">
        <v>3298</v>
      </c>
      <c r="D674">
        <v>7</v>
      </c>
      <c r="E674" s="9">
        <v>105</v>
      </c>
      <c r="F674">
        <v>3</v>
      </c>
    </row>
    <row r="675" spans="1:6" x14ac:dyDescent="0.35">
      <c r="A675" t="s">
        <v>3968</v>
      </c>
      <c r="B675" s="4" t="s">
        <v>2982</v>
      </c>
      <c r="C675" t="s">
        <v>3294</v>
      </c>
      <c r="D675">
        <v>3</v>
      </c>
      <c r="E675" s="9">
        <v>90</v>
      </c>
      <c r="F675">
        <v>1</v>
      </c>
    </row>
    <row r="676" spans="1:6" x14ac:dyDescent="0.35">
      <c r="A676" t="s">
        <v>3969</v>
      </c>
      <c r="B676" s="4" t="s">
        <v>2982</v>
      </c>
      <c r="C676" t="s">
        <v>3296</v>
      </c>
      <c r="D676">
        <v>32</v>
      </c>
      <c r="E676" s="9">
        <v>320</v>
      </c>
      <c r="F676">
        <v>2</v>
      </c>
    </row>
    <row r="677" spans="1:6" x14ac:dyDescent="0.35">
      <c r="A677" t="s">
        <v>3970</v>
      </c>
      <c r="B677" s="4" t="s">
        <v>2982</v>
      </c>
      <c r="C677" t="s">
        <v>3298</v>
      </c>
      <c r="D677">
        <v>5</v>
      </c>
      <c r="E677" s="9">
        <v>75</v>
      </c>
      <c r="F677">
        <v>3</v>
      </c>
    </row>
    <row r="678" spans="1:6" x14ac:dyDescent="0.35">
      <c r="A678" t="s">
        <v>3971</v>
      </c>
      <c r="B678" s="4" t="s">
        <v>1083</v>
      </c>
      <c r="C678" t="s">
        <v>3292</v>
      </c>
      <c r="D678">
        <v>2</v>
      </c>
      <c r="E678" s="9">
        <v>50</v>
      </c>
      <c r="F678">
        <v>1</v>
      </c>
    </row>
    <row r="679" spans="1:6" x14ac:dyDescent="0.35">
      <c r="A679" t="s">
        <v>3972</v>
      </c>
      <c r="B679" s="4" t="s">
        <v>1083</v>
      </c>
      <c r="C679" t="s">
        <v>3296</v>
      </c>
      <c r="D679">
        <v>36</v>
      </c>
      <c r="E679" s="9">
        <v>360</v>
      </c>
      <c r="F679">
        <v>2</v>
      </c>
    </row>
    <row r="680" spans="1:6" x14ac:dyDescent="0.35">
      <c r="A680" t="s">
        <v>3973</v>
      </c>
      <c r="B680" s="4" t="s">
        <v>1083</v>
      </c>
      <c r="C680" t="s">
        <v>3298</v>
      </c>
      <c r="D680">
        <v>6</v>
      </c>
      <c r="E680" s="9">
        <v>90</v>
      </c>
      <c r="F680">
        <v>3</v>
      </c>
    </row>
    <row r="681" spans="1:6" x14ac:dyDescent="0.35">
      <c r="A681" t="s">
        <v>3974</v>
      </c>
      <c r="B681" s="4" t="s">
        <v>1089</v>
      </c>
      <c r="C681" t="s">
        <v>3296</v>
      </c>
      <c r="D681">
        <v>33</v>
      </c>
      <c r="E681" s="9">
        <v>330</v>
      </c>
      <c r="F681">
        <v>2</v>
      </c>
    </row>
    <row r="682" spans="1:6" x14ac:dyDescent="0.35">
      <c r="A682" t="s">
        <v>3975</v>
      </c>
      <c r="B682" s="4" t="s">
        <v>1089</v>
      </c>
      <c r="C682" t="s">
        <v>3298</v>
      </c>
      <c r="D682">
        <v>6</v>
      </c>
      <c r="E682" s="9">
        <v>90</v>
      </c>
      <c r="F682">
        <v>3</v>
      </c>
    </row>
    <row r="683" spans="1:6" x14ac:dyDescent="0.35">
      <c r="A683" t="s">
        <v>3976</v>
      </c>
      <c r="B683" s="4" t="s">
        <v>1095</v>
      </c>
      <c r="C683" t="s">
        <v>3296</v>
      </c>
      <c r="D683">
        <v>43</v>
      </c>
      <c r="E683" s="9">
        <v>430</v>
      </c>
      <c r="F683">
        <v>2</v>
      </c>
    </row>
    <row r="684" spans="1:6" x14ac:dyDescent="0.35">
      <c r="A684" t="s">
        <v>3977</v>
      </c>
      <c r="B684" s="4" t="s">
        <v>1095</v>
      </c>
      <c r="C684" t="s">
        <v>3298</v>
      </c>
      <c r="D684">
        <v>5</v>
      </c>
      <c r="E684" s="9">
        <v>75</v>
      </c>
      <c r="F684">
        <v>3</v>
      </c>
    </row>
    <row r="685" spans="1:6" x14ac:dyDescent="0.35">
      <c r="A685" t="s">
        <v>3978</v>
      </c>
      <c r="B685" s="4" t="s">
        <v>1101</v>
      </c>
      <c r="C685" t="s">
        <v>3294</v>
      </c>
      <c r="D685">
        <v>2</v>
      </c>
      <c r="E685" s="9">
        <v>60</v>
      </c>
      <c r="F685">
        <v>1</v>
      </c>
    </row>
    <row r="686" spans="1:6" x14ac:dyDescent="0.35">
      <c r="A686" t="s">
        <v>3979</v>
      </c>
      <c r="B686" s="4" t="s">
        <v>1101</v>
      </c>
      <c r="C686" t="s">
        <v>3296</v>
      </c>
      <c r="D686">
        <v>40</v>
      </c>
      <c r="E686" s="9">
        <v>400</v>
      </c>
      <c r="F686">
        <v>2</v>
      </c>
    </row>
    <row r="687" spans="1:6" x14ac:dyDescent="0.35">
      <c r="A687" t="s">
        <v>3980</v>
      </c>
      <c r="B687" s="4" t="s">
        <v>1101</v>
      </c>
      <c r="C687" t="s">
        <v>3298</v>
      </c>
      <c r="D687">
        <v>5</v>
      </c>
      <c r="E687" s="9">
        <v>75</v>
      </c>
      <c r="F687">
        <v>3</v>
      </c>
    </row>
    <row r="688" spans="1:6" x14ac:dyDescent="0.35">
      <c r="A688" t="s">
        <v>3981</v>
      </c>
      <c r="B688" s="4" t="s">
        <v>1108</v>
      </c>
      <c r="C688" t="s">
        <v>3292</v>
      </c>
      <c r="D688">
        <v>2</v>
      </c>
      <c r="E688" s="9">
        <v>50</v>
      </c>
      <c r="F688">
        <v>1</v>
      </c>
    </row>
    <row r="689" spans="1:6" x14ac:dyDescent="0.35">
      <c r="A689" t="s">
        <v>3982</v>
      </c>
      <c r="B689" s="4" t="s">
        <v>1108</v>
      </c>
      <c r="C689" t="s">
        <v>3294</v>
      </c>
      <c r="D689">
        <v>2</v>
      </c>
      <c r="E689" s="9">
        <v>60</v>
      </c>
      <c r="F689">
        <v>1</v>
      </c>
    </row>
    <row r="690" spans="1:6" x14ac:dyDescent="0.35">
      <c r="A690" t="s">
        <v>3983</v>
      </c>
      <c r="B690" s="4" t="s">
        <v>1108</v>
      </c>
      <c r="C690" t="s">
        <v>3296</v>
      </c>
      <c r="D690">
        <v>32</v>
      </c>
      <c r="E690" s="9">
        <v>320</v>
      </c>
      <c r="F690">
        <v>2</v>
      </c>
    </row>
    <row r="691" spans="1:6" x14ac:dyDescent="0.35">
      <c r="A691" t="s">
        <v>3984</v>
      </c>
      <c r="B691" s="4" t="s">
        <v>1108</v>
      </c>
      <c r="C691" t="s">
        <v>3298</v>
      </c>
      <c r="D691">
        <v>9</v>
      </c>
      <c r="E691" s="9">
        <v>135</v>
      </c>
      <c r="F691">
        <v>3</v>
      </c>
    </row>
    <row r="692" spans="1:6" x14ac:dyDescent="0.35">
      <c r="A692" t="s">
        <v>3985</v>
      </c>
      <c r="B692" s="4" t="s">
        <v>1116</v>
      </c>
      <c r="C692" t="s">
        <v>3296</v>
      </c>
      <c r="D692">
        <v>43</v>
      </c>
      <c r="E692" s="9">
        <v>430</v>
      </c>
      <c r="F692">
        <v>2</v>
      </c>
    </row>
    <row r="693" spans="1:6" x14ac:dyDescent="0.35">
      <c r="A693" t="s">
        <v>3986</v>
      </c>
      <c r="B693" s="4" t="s">
        <v>1116</v>
      </c>
      <c r="C693" t="s">
        <v>3298</v>
      </c>
      <c r="D693">
        <v>8</v>
      </c>
      <c r="E693" s="9">
        <v>120</v>
      </c>
      <c r="F693">
        <v>3</v>
      </c>
    </row>
    <row r="694" spans="1:6" x14ac:dyDescent="0.35">
      <c r="A694" t="s">
        <v>3987</v>
      </c>
      <c r="B694" s="4" t="s">
        <v>3036</v>
      </c>
      <c r="C694" t="s">
        <v>3292</v>
      </c>
      <c r="D694">
        <v>5</v>
      </c>
      <c r="E694" s="9">
        <v>125</v>
      </c>
      <c r="F694">
        <v>1</v>
      </c>
    </row>
    <row r="695" spans="1:6" x14ac:dyDescent="0.35">
      <c r="A695" t="s">
        <v>3988</v>
      </c>
      <c r="B695" s="4" t="s">
        <v>3036</v>
      </c>
      <c r="C695" t="s">
        <v>3296</v>
      </c>
      <c r="D695">
        <v>30</v>
      </c>
      <c r="E695" s="9">
        <v>300</v>
      </c>
      <c r="F695">
        <v>2</v>
      </c>
    </row>
    <row r="696" spans="1:6" x14ac:dyDescent="0.35">
      <c r="A696" t="s">
        <v>3989</v>
      </c>
      <c r="B696" s="4" t="s">
        <v>3036</v>
      </c>
      <c r="C696" t="s">
        <v>3298</v>
      </c>
      <c r="D696">
        <v>8</v>
      </c>
      <c r="E696" s="9">
        <v>120</v>
      </c>
      <c r="F696">
        <v>3</v>
      </c>
    </row>
    <row r="697" spans="1:6" x14ac:dyDescent="0.35">
      <c r="A697" t="s">
        <v>3990</v>
      </c>
      <c r="B697" s="4" t="s">
        <v>3043</v>
      </c>
      <c r="C697" t="s">
        <v>3296</v>
      </c>
      <c r="D697">
        <v>32</v>
      </c>
      <c r="E697" s="9">
        <v>320</v>
      </c>
      <c r="F697">
        <v>2</v>
      </c>
    </row>
    <row r="698" spans="1:6" x14ac:dyDescent="0.35">
      <c r="A698" t="s">
        <v>3991</v>
      </c>
      <c r="B698" s="4" t="s">
        <v>3043</v>
      </c>
      <c r="C698" t="s">
        <v>3298</v>
      </c>
      <c r="D698">
        <v>9</v>
      </c>
      <c r="E698" s="9">
        <v>135</v>
      </c>
      <c r="F698">
        <v>3</v>
      </c>
    </row>
    <row r="699" spans="1:6" x14ac:dyDescent="0.35">
      <c r="A699" t="s">
        <v>3992</v>
      </c>
      <c r="B699" s="4" t="s">
        <v>3050</v>
      </c>
      <c r="C699" t="s">
        <v>3292</v>
      </c>
      <c r="D699">
        <v>2</v>
      </c>
      <c r="E699" s="9">
        <v>50</v>
      </c>
      <c r="F699">
        <v>1</v>
      </c>
    </row>
    <row r="700" spans="1:6" x14ac:dyDescent="0.35">
      <c r="A700" t="s">
        <v>3993</v>
      </c>
      <c r="B700" s="4" t="s">
        <v>3050</v>
      </c>
      <c r="C700" t="s">
        <v>3294</v>
      </c>
      <c r="D700">
        <v>3</v>
      </c>
      <c r="E700" s="9">
        <v>90</v>
      </c>
      <c r="F700">
        <v>1</v>
      </c>
    </row>
    <row r="701" spans="1:6" x14ac:dyDescent="0.35">
      <c r="A701" t="s">
        <v>3994</v>
      </c>
      <c r="B701" s="4" t="s">
        <v>3050</v>
      </c>
      <c r="C701" t="s">
        <v>3296</v>
      </c>
      <c r="D701">
        <v>33</v>
      </c>
      <c r="E701" s="9">
        <v>330</v>
      </c>
      <c r="F701">
        <v>2</v>
      </c>
    </row>
    <row r="702" spans="1:6" x14ac:dyDescent="0.35">
      <c r="A702" t="s">
        <v>3995</v>
      </c>
      <c r="B702" s="4" t="s">
        <v>3050</v>
      </c>
      <c r="C702" t="s">
        <v>3298</v>
      </c>
      <c r="D702">
        <v>7</v>
      </c>
      <c r="E702" s="9">
        <v>105</v>
      </c>
      <c r="F702">
        <v>3</v>
      </c>
    </row>
    <row r="703" spans="1:6" x14ac:dyDescent="0.35">
      <c r="A703" t="s">
        <v>3996</v>
      </c>
      <c r="B703" s="4" t="s">
        <v>1122</v>
      </c>
      <c r="C703" t="s">
        <v>3294</v>
      </c>
      <c r="D703">
        <v>1</v>
      </c>
      <c r="E703" s="9">
        <v>30</v>
      </c>
      <c r="F703">
        <v>1</v>
      </c>
    </row>
    <row r="704" spans="1:6" x14ac:dyDescent="0.35">
      <c r="A704" t="s">
        <v>3997</v>
      </c>
      <c r="B704" s="4" t="s">
        <v>1122</v>
      </c>
      <c r="C704" t="s">
        <v>3296</v>
      </c>
      <c r="D704">
        <v>39</v>
      </c>
      <c r="E704" s="9">
        <v>390</v>
      </c>
      <c r="F704">
        <v>2</v>
      </c>
    </row>
    <row r="705" spans="1:6" x14ac:dyDescent="0.35">
      <c r="A705" t="s">
        <v>3998</v>
      </c>
      <c r="B705" s="4" t="s">
        <v>1122</v>
      </c>
      <c r="C705" t="s">
        <v>3298</v>
      </c>
      <c r="D705">
        <v>8</v>
      </c>
      <c r="E705" s="9">
        <v>120</v>
      </c>
      <c r="F705">
        <v>3</v>
      </c>
    </row>
    <row r="706" spans="1:6" x14ac:dyDescent="0.35">
      <c r="A706" t="s">
        <v>3999</v>
      </c>
      <c r="B706" s="4" t="s">
        <v>1129</v>
      </c>
      <c r="C706" t="s">
        <v>3292</v>
      </c>
      <c r="D706">
        <v>2</v>
      </c>
      <c r="E706" s="9">
        <v>50</v>
      </c>
      <c r="F706">
        <v>1</v>
      </c>
    </row>
    <row r="707" spans="1:6" x14ac:dyDescent="0.35">
      <c r="A707" t="s">
        <v>4000</v>
      </c>
      <c r="B707" s="4" t="s">
        <v>1129</v>
      </c>
      <c r="C707" t="s">
        <v>3296</v>
      </c>
      <c r="D707">
        <v>37</v>
      </c>
      <c r="E707" s="9">
        <v>370</v>
      </c>
      <c r="F707">
        <v>2</v>
      </c>
    </row>
    <row r="708" spans="1:6" x14ac:dyDescent="0.35">
      <c r="A708" t="s">
        <v>4001</v>
      </c>
      <c r="B708" s="4" t="s">
        <v>1129</v>
      </c>
      <c r="C708" t="s">
        <v>3298</v>
      </c>
      <c r="D708">
        <v>6</v>
      </c>
      <c r="E708" s="9">
        <v>90</v>
      </c>
      <c r="F708">
        <v>3</v>
      </c>
    </row>
    <row r="709" spans="1:6" x14ac:dyDescent="0.35">
      <c r="A709" t="s">
        <v>4002</v>
      </c>
      <c r="B709" s="4" t="s">
        <v>1139</v>
      </c>
      <c r="C709" t="s">
        <v>3296</v>
      </c>
      <c r="D709">
        <v>39</v>
      </c>
      <c r="E709" s="9">
        <v>390</v>
      </c>
      <c r="F709">
        <v>2</v>
      </c>
    </row>
    <row r="710" spans="1:6" x14ac:dyDescent="0.35">
      <c r="A710" t="s">
        <v>4003</v>
      </c>
      <c r="B710" s="4" t="s">
        <v>1139</v>
      </c>
      <c r="C710" t="s">
        <v>3298</v>
      </c>
      <c r="D710">
        <v>6</v>
      </c>
      <c r="E710" s="9">
        <v>90</v>
      </c>
      <c r="F710">
        <v>3</v>
      </c>
    </row>
    <row r="711" spans="1:6" x14ac:dyDescent="0.35">
      <c r="A711" t="s">
        <v>4004</v>
      </c>
      <c r="B711" s="4" t="s">
        <v>1141</v>
      </c>
      <c r="C711" t="s">
        <v>3292</v>
      </c>
      <c r="D711">
        <v>4</v>
      </c>
      <c r="E711" s="9">
        <v>100</v>
      </c>
      <c r="F711">
        <v>1</v>
      </c>
    </row>
    <row r="712" spans="1:6" x14ac:dyDescent="0.35">
      <c r="A712" t="s">
        <v>4005</v>
      </c>
      <c r="B712" s="4" t="s">
        <v>1141</v>
      </c>
      <c r="C712" t="s">
        <v>3296</v>
      </c>
      <c r="D712">
        <v>30</v>
      </c>
      <c r="E712" s="9">
        <v>300</v>
      </c>
      <c r="F712">
        <v>2</v>
      </c>
    </row>
    <row r="713" spans="1:6" x14ac:dyDescent="0.35">
      <c r="A713" t="s">
        <v>4006</v>
      </c>
      <c r="B713" s="4" t="s">
        <v>1141</v>
      </c>
      <c r="C713" t="s">
        <v>3298</v>
      </c>
      <c r="D713">
        <v>9</v>
      </c>
      <c r="E713" s="9">
        <v>135</v>
      </c>
      <c r="F713">
        <v>3</v>
      </c>
    </row>
    <row r="714" spans="1:6" x14ac:dyDescent="0.35">
      <c r="A714" t="s">
        <v>4007</v>
      </c>
      <c r="B714" s="4" t="s">
        <v>3086</v>
      </c>
      <c r="C714" t="s">
        <v>3294</v>
      </c>
      <c r="D714">
        <v>1</v>
      </c>
      <c r="E714" s="9">
        <v>30</v>
      </c>
      <c r="F714">
        <v>1</v>
      </c>
    </row>
    <row r="715" spans="1:6" x14ac:dyDescent="0.35">
      <c r="A715" t="s">
        <v>4008</v>
      </c>
      <c r="B715" s="4" t="s">
        <v>3086</v>
      </c>
      <c r="C715" t="s">
        <v>3296</v>
      </c>
      <c r="D715">
        <v>30</v>
      </c>
      <c r="E715" s="9">
        <v>300</v>
      </c>
      <c r="F715">
        <v>2</v>
      </c>
    </row>
    <row r="716" spans="1:6" x14ac:dyDescent="0.35">
      <c r="A716" t="s">
        <v>4009</v>
      </c>
      <c r="B716" s="4" t="s">
        <v>3086</v>
      </c>
      <c r="C716" t="s">
        <v>3298</v>
      </c>
      <c r="D716">
        <v>9</v>
      </c>
      <c r="E716" s="9">
        <v>135</v>
      </c>
      <c r="F716">
        <v>3</v>
      </c>
    </row>
    <row r="717" spans="1:6" x14ac:dyDescent="0.35">
      <c r="A717" t="s">
        <v>4010</v>
      </c>
      <c r="B717" s="4" t="s">
        <v>3091</v>
      </c>
      <c r="C717" t="s">
        <v>3296</v>
      </c>
      <c r="D717">
        <v>32</v>
      </c>
      <c r="E717" s="9">
        <v>320</v>
      </c>
      <c r="F717">
        <v>2</v>
      </c>
    </row>
    <row r="718" spans="1:6" x14ac:dyDescent="0.35">
      <c r="A718" t="s">
        <v>4011</v>
      </c>
      <c r="B718" s="4" t="s">
        <v>3091</v>
      </c>
      <c r="C718" t="s">
        <v>3298</v>
      </c>
      <c r="D718">
        <v>7</v>
      </c>
      <c r="E718" s="9">
        <v>105</v>
      </c>
      <c r="F718">
        <v>3</v>
      </c>
    </row>
    <row r="719" spans="1:6" x14ac:dyDescent="0.35">
      <c r="A719" t="s">
        <v>4012</v>
      </c>
      <c r="B719" s="4" t="s">
        <v>3098</v>
      </c>
      <c r="C719" t="s">
        <v>3292</v>
      </c>
      <c r="D719">
        <v>4</v>
      </c>
      <c r="E719" s="9">
        <v>100</v>
      </c>
      <c r="F719">
        <v>1</v>
      </c>
    </row>
    <row r="720" spans="1:6" x14ac:dyDescent="0.35">
      <c r="A720" t="s">
        <v>4013</v>
      </c>
      <c r="B720" s="4" t="s">
        <v>3098</v>
      </c>
      <c r="C720" t="s">
        <v>3294</v>
      </c>
      <c r="D720">
        <v>3</v>
      </c>
      <c r="E720" s="9">
        <v>90</v>
      </c>
      <c r="F720">
        <v>1</v>
      </c>
    </row>
    <row r="721" spans="1:6" x14ac:dyDescent="0.35">
      <c r="A721" t="s">
        <v>4014</v>
      </c>
      <c r="B721" s="4" t="s">
        <v>3098</v>
      </c>
      <c r="C721" t="s">
        <v>3296</v>
      </c>
      <c r="D721">
        <v>34</v>
      </c>
      <c r="E721" s="9">
        <v>340</v>
      </c>
      <c r="F721">
        <v>2</v>
      </c>
    </row>
    <row r="722" spans="1:6" x14ac:dyDescent="0.35">
      <c r="A722" t="s">
        <v>4015</v>
      </c>
      <c r="B722" s="4" t="s">
        <v>3098</v>
      </c>
      <c r="C722" t="s">
        <v>3298</v>
      </c>
      <c r="D722">
        <v>6</v>
      </c>
      <c r="E722" s="9">
        <v>90</v>
      </c>
      <c r="F722">
        <v>3</v>
      </c>
    </row>
    <row r="723" spans="1:6" x14ac:dyDescent="0.35">
      <c r="A723" t="s">
        <v>4016</v>
      </c>
      <c r="B723" s="4" t="s">
        <v>3114</v>
      </c>
      <c r="C723" t="s">
        <v>3292</v>
      </c>
      <c r="D723">
        <v>4</v>
      </c>
      <c r="E723" s="9">
        <v>100</v>
      </c>
      <c r="F723">
        <v>1</v>
      </c>
    </row>
    <row r="724" spans="1:6" x14ac:dyDescent="0.35">
      <c r="A724" t="s">
        <v>4017</v>
      </c>
      <c r="B724" s="4" t="s">
        <v>3114</v>
      </c>
      <c r="C724" t="s">
        <v>3294</v>
      </c>
      <c r="D724">
        <v>1</v>
      </c>
      <c r="E724" s="9">
        <v>30</v>
      </c>
      <c r="F724">
        <v>1</v>
      </c>
    </row>
    <row r="725" spans="1:6" x14ac:dyDescent="0.35">
      <c r="A725" t="s">
        <v>4018</v>
      </c>
      <c r="B725" s="4" t="s">
        <v>3114</v>
      </c>
      <c r="C725" t="s">
        <v>3296</v>
      </c>
      <c r="D725">
        <v>31</v>
      </c>
      <c r="E725" s="9">
        <v>310</v>
      </c>
      <c r="F725">
        <v>2</v>
      </c>
    </row>
    <row r="726" spans="1:6" x14ac:dyDescent="0.35">
      <c r="A726" t="s">
        <v>4019</v>
      </c>
      <c r="B726" s="4" t="s">
        <v>3114</v>
      </c>
      <c r="C726" t="s">
        <v>3298</v>
      </c>
      <c r="D726">
        <v>9</v>
      </c>
      <c r="E726" s="9">
        <v>135</v>
      </c>
      <c r="F726">
        <v>3</v>
      </c>
    </row>
    <row r="727" spans="1:6" x14ac:dyDescent="0.35">
      <c r="A727" t="s">
        <v>4020</v>
      </c>
      <c r="B727" s="4" t="s">
        <v>3119</v>
      </c>
      <c r="C727" t="s">
        <v>3292</v>
      </c>
      <c r="D727">
        <v>2</v>
      </c>
      <c r="E727" s="9">
        <v>50</v>
      </c>
      <c r="F727">
        <v>1</v>
      </c>
    </row>
    <row r="728" spans="1:6" x14ac:dyDescent="0.35">
      <c r="A728" t="s">
        <v>4021</v>
      </c>
      <c r="B728" s="4" t="s">
        <v>3119</v>
      </c>
      <c r="C728" t="s">
        <v>3294</v>
      </c>
      <c r="D728">
        <v>1</v>
      </c>
      <c r="E728" s="9">
        <v>30</v>
      </c>
      <c r="F728">
        <v>1</v>
      </c>
    </row>
    <row r="729" spans="1:6" x14ac:dyDescent="0.35">
      <c r="A729" t="s">
        <v>4022</v>
      </c>
      <c r="B729" s="4" t="s">
        <v>3119</v>
      </c>
      <c r="C729" t="s">
        <v>3296</v>
      </c>
      <c r="D729">
        <v>38</v>
      </c>
      <c r="E729" s="9">
        <v>380</v>
      </c>
      <c r="F729">
        <v>2</v>
      </c>
    </row>
    <row r="730" spans="1:6" x14ac:dyDescent="0.35">
      <c r="A730" t="s">
        <v>4023</v>
      </c>
      <c r="B730" s="4" t="s">
        <v>3119</v>
      </c>
      <c r="C730" t="s">
        <v>3298</v>
      </c>
      <c r="D730">
        <v>5</v>
      </c>
      <c r="E730" s="9">
        <v>75</v>
      </c>
      <c r="F730">
        <v>3</v>
      </c>
    </row>
    <row r="731" spans="1:6" x14ac:dyDescent="0.35">
      <c r="A731" t="s">
        <v>4024</v>
      </c>
      <c r="B731" s="4" t="s">
        <v>3124</v>
      </c>
      <c r="C731" t="s">
        <v>3292</v>
      </c>
      <c r="D731">
        <v>5</v>
      </c>
      <c r="E731" s="9">
        <v>125</v>
      </c>
      <c r="F731">
        <v>1</v>
      </c>
    </row>
    <row r="732" spans="1:6" x14ac:dyDescent="0.35">
      <c r="A732" t="s">
        <v>4025</v>
      </c>
      <c r="B732" s="4" t="s">
        <v>3124</v>
      </c>
      <c r="C732" t="s">
        <v>3296</v>
      </c>
      <c r="D732">
        <v>41</v>
      </c>
      <c r="E732" s="9">
        <v>410</v>
      </c>
      <c r="F732">
        <v>2</v>
      </c>
    </row>
    <row r="733" spans="1:6" x14ac:dyDescent="0.35">
      <c r="A733" t="s">
        <v>4026</v>
      </c>
      <c r="B733" s="4" t="s">
        <v>3124</v>
      </c>
      <c r="C733" t="s">
        <v>3298</v>
      </c>
      <c r="D733">
        <v>6</v>
      </c>
      <c r="E733" s="9">
        <v>90</v>
      </c>
      <c r="F733">
        <v>3</v>
      </c>
    </row>
    <row r="734" spans="1:6" x14ac:dyDescent="0.35">
      <c r="A734" t="s">
        <v>4027</v>
      </c>
      <c r="B734" s="4" t="s">
        <v>3130</v>
      </c>
      <c r="C734" t="s">
        <v>3294</v>
      </c>
      <c r="D734">
        <v>2</v>
      </c>
      <c r="E734" s="9">
        <v>60</v>
      </c>
      <c r="F734">
        <v>1</v>
      </c>
    </row>
    <row r="735" spans="1:6" x14ac:dyDescent="0.35">
      <c r="A735" t="s">
        <v>4028</v>
      </c>
      <c r="B735" s="4" t="s">
        <v>3130</v>
      </c>
      <c r="C735" t="s">
        <v>3296</v>
      </c>
      <c r="D735">
        <v>32</v>
      </c>
      <c r="E735" s="9">
        <v>320</v>
      </c>
      <c r="F735">
        <v>2</v>
      </c>
    </row>
    <row r="736" spans="1:6" x14ac:dyDescent="0.35">
      <c r="A736" t="s">
        <v>4029</v>
      </c>
      <c r="B736" s="4" t="s">
        <v>3130</v>
      </c>
      <c r="C736" t="s">
        <v>3298</v>
      </c>
      <c r="D736">
        <v>6</v>
      </c>
      <c r="E736" s="9">
        <v>90</v>
      </c>
      <c r="F736">
        <v>3</v>
      </c>
    </row>
    <row r="737" spans="1:6" x14ac:dyDescent="0.35">
      <c r="A737" t="s">
        <v>4030</v>
      </c>
      <c r="B737" s="4" t="s">
        <v>3135</v>
      </c>
      <c r="C737" t="s">
        <v>3292</v>
      </c>
      <c r="D737">
        <v>5</v>
      </c>
      <c r="E737" s="9">
        <v>125</v>
      </c>
      <c r="F737">
        <v>1</v>
      </c>
    </row>
    <row r="738" spans="1:6" x14ac:dyDescent="0.35">
      <c r="A738" t="s">
        <v>4031</v>
      </c>
      <c r="B738" s="4" t="s">
        <v>3135</v>
      </c>
      <c r="C738" t="s">
        <v>3294</v>
      </c>
      <c r="D738">
        <v>3</v>
      </c>
      <c r="E738" s="9">
        <v>90</v>
      </c>
      <c r="F738">
        <v>1</v>
      </c>
    </row>
    <row r="739" spans="1:6" x14ac:dyDescent="0.35">
      <c r="A739" t="s">
        <v>4032</v>
      </c>
      <c r="B739" s="4" t="s">
        <v>3135</v>
      </c>
      <c r="C739" t="s">
        <v>3296</v>
      </c>
      <c r="D739">
        <v>39</v>
      </c>
      <c r="E739" s="9">
        <v>390</v>
      </c>
      <c r="F739">
        <v>2</v>
      </c>
    </row>
    <row r="740" spans="1:6" x14ac:dyDescent="0.35">
      <c r="A740" t="s">
        <v>4033</v>
      </c>
      <c r="B740" s="4" t="s">
        <v>3135</v>
      </c>
      <c r="C740" t="s">
        <v>3298</v>
      </c>
      <c r="D740">
        <v>9</v>
      </c>
      <c r="E740" s="9">
        <v>135</v>
      </c>
      <c r="F740">
        <v>3</v>
      </c>
    </row>
    <row r="741" spans="1:6" x14ac:dyDescent="0.35">
      <c r="A741" t="s">
        <v>4034</v>
      </c>
      <c r="B741" s="4" t="s">
        <v>1143</v>
      </c>
      <c r="C741" t="s">
        <v>3292</v>
      </c>
      <c r="D741">
        <v>4</v>
      </c>
      <c r="E741" s="9">
        <v>100</v>
      </c>
      <c r="F741">
        <v>1</v>
      </c>
    </row>
    <row r="742" spans="1:6" x14ac:dyDescent="0.35">
      <c r="A742" t="s">
        <v>4035</v>
      </c>
      <c r="B742" s="4" t="s">
        <v>1143</v>
      </c>
      <c r="C742" t="s">
        <v>3296</v>
      </c>
      <c r="D742">
        <v>43</v>
      </c>
      <c r="E742" s="9">
        <v>430</v>
      </c>
      <c r="F742">
        <v>2</v>
      </c>
    </row>
    <row r="743" spans="1:6" x14ac:dyDescent="0.35">
      <c r="A743" t="s">
        <v>4036</v>
      </c>
      <c r="B743" s="4" t="s">
        <v>1143</v>
      </c>
      <c r="C743" t="s">
        <v>3298</v>
      </c>
      <c r="D743">
        <v>6</v>
      </c>
      <c r="E743" s="9">
        <v>90</v>
      </c>
      <c r="F743">
        <v>3</v>
      </c>
    </row>
    <row r="744" spans="1:6" x14ac:dyDescent="0.35">
      <c r="A744" t="s">
        <v>4037</v>
      </c>
      <c r="B744" s="4" t="s">
        <v>1149</v>
      </c>
      <c r="C744" t="s">
        <v>3292</v>
      </c>
      <c r="D744">
        <v>3</v>
      </c>
      <c r="E744" s="9">
        <v>75</v>
      </c>
      <c r="F744">
        <v>1</v>
      </c>
    </row>
    <row r="745" spans="1:6" x14ac:dyDescent="0.35">
      <c r="A745" t="s">
        <v>4038</v>
      </c>
      <c r="B745" s="4" t="s">
        <v>1149</v>
      </c>
      <c r="C745" t="s">
        <v>3296</v>
      </c>
      <c r="D745">
        <v>43</v>
      </c>
      <c r="E745" s="9">
        <v>430</v>
      </c>
      <c r="F745">
        <v>2</v>
      </c>
    </row>
    <row r="746" spans="1:6" x14ac:dyDescent="0.35">
      <c r="A746" t="s">
        <v>4039</v>
      </c>
      <c r="B746" s="4" t="s">
        <v>1149</v>
      </c>
      <c r="C746" t="s">
        <v>3298</v>
      </c>
      <c r="D746">
        <v>7</v>
      </c>
      <c r="E746" s="9">
        <v>105</v>
      </c>
      <c r="F746">
        <v>3</v>
      </c>
    </row>
    <row r="747" spans="1:6" x14ac:dyDescent="0.35">
      <c r="A747" t="s">
        <v>4040</v>
      </c>
      <c r="B747" s="4" t="s">
        <v>1157</v>
      </c>
      <c r="C747" t="s">
        <v>3294</v>
      </c>
      <c r="D747">
        <v>3</v>
      </c>
      <c r="E747" s="9">
        <v>90</v>
      </c>
      <c r="F747">
        <v>1</v>
      </c>
    </row>
    <row r="748" spans="1:6" x14ac:dyDescent="0.35">
      <c r="A748" t="s">
        <v>4041</v>
      </c>
      <c r="B748" s="4" t="s">
        <v>1157</v>
      </c>
      <c r="C748" t="s">
        <v>3296</v>
      </c>
      <c r="D748">
        <v>40</v>
      </c>
      <c r="E748" s="9">
        <v>400</v>
      </c>
      <c r="F748">
        <v>2</v>
      </c>
    </row>
    <row r="749" spans="1:6" x14ac:dyDescent="0.35">
      <c r="A749" t="s">
        <v>4042</v>
      </c>
      <c r="B749" s="4" t="s">
        <v>1157</v>
      </c>
      <c r="C749" t="s">
        <v>3298</v>
      </c>
      <c r="D749">
        <v>8</v>
      </c>
      <c r="E749" s="9">
        <v>120</v>
      </c>
      <c r="F749">
        <v>3</v>
      </c>
    </row>
    <row r="750" spans="1:6" x14ac:dyDescent="0.35">
      <c r="A750" t="s">
        <v>4043</v>
      </c>
      <c r="B750" s="4" t="s">
        <v>1167</v>
      </c>
      <c r="C750" t="s">
        <v>3292</v>
      </c>
      <c r="D750">
        <v>4</v>
      </c>
      <c r="E750" s="9">
        <v>100</v>
      </c>
      <c r="F750">
        <v>1</v>
      </c>
    </row>
    <row r="751" spans="1:6" x14ac:dyDescent="0.35">
      <c r="A751" t="s">
        <v>4044</v>
      </c>
      <c r="B751" s="4" t="s">
        <v>1167</v>
      </c>
      <c r="C751" t="s">
        <v>3296</v>
      </c>
      <c r="D751">
        <v>45</v>
      </c>
      <c r="E751" s="9">
        <v>450</v>
      </c>
      <c r="F751">
        <v>2</v>
      </c>
    </row>
    <row r="752" spans="1:6" x14ac:dyDescent="0.35">
      <c r="A752" t="s">
        <v>4045</v>
      </c>
      <c r="B752" s="4" t="s">
        <v>1167</v>
      </c>
      <c r="C752" t="s">
        <v>3298</v>
      </c>
      <c r="D752">
        <v>9</v>
      </c>
      <c r="E752" s="9">
        <v>135</v>
      </c>
      <c r="F752">
        <v>3</v>
      </c>
    </row>
    <row r="753" spans="1:6" x14ac:dyDescent="0.35">
      <c r="A753" t="s">
        <v>4046</v>
      </c>
      <c r="B753" s="4" t="s">
        <v>1171</v>
      </c>
      <c r="C753" t="s">
        <v>3292</v>
      </c>
      <c r="D753">
        <v>2</v>
      </c>
      <c r="E753" s="9">
        <v>50</v>
      </c>
      <c r="F753">
        <v>1</v>
      </c>
    </row>
    <row r="754" spans="1:6" x14ac:dyDescent="0.35">
      <c r="A754" t="s">
        <v>4047</v>
      </c>
      <c r="B754" s="4" t="s">
        <v>1171</v>
      </c>
      <c r="C754" t="s">
        <v>3296</v>
      </c>
      <c r="D754">
        <v>34</v>
      </c>
      <c r="E754" s="9">
        <v>340</v>
      </c>
      <c r="F754">
        <v>2</v>
      </c>
    </row>
    <row r="755" spans="1:6" x14ac:dyDescent="0.35">
      <c r="A755" t="s">
        <v>4048</v>
      </c>
      <c r="B755" s="4" t="s">
        <v>1171</v>
      </c>
      <c r="C755" t="s">
        <v>3298</v>
      </c>
      <c r="D755">
        <v>9</v>
      </c>
      <c r="E755" s="9">
        <v>135</v>
      </c>
      <c r="F755">
        <v>3</v>
      </c>
    </row>
    <row r="756" spans="1:6" x14ac:dyDescent="0.35">
      <c r="A756" t="s">
        <v>4049</v>
      </c>
      <c r="B756" s="4" t="s">
        <v>3185</v>
      </c>
      <c r="C756" t="s">
        <v>3292</v>
      </c>
      <c r="D756">
        <v>2</v>
      </c>
      <c r="E756" s="9">
        <v>50</v>
      </c>
      <c r="F756">
        <v>1</v>
      </c>
    </row>
    <row r="757" spans="1:6" x14ac:dyDescent="0.35">
      <c r="A757" t="s">
        <v>4050</v>
      </c>
      <c r="B757" s="4" t="s">
        <v>3185</v>
      </c>
      <c r="C757" t="s">
        <v>3296</v>
      </c>
      <c r="D757">
        <v>30</v>
      </c>
      <c r="E757" s="9">
        <v>300</v>
      </c>
      <c r="F757">
        <v>2</v>
      </c>
    </row>
    <row r="758" spans="1:6" x14ac:dyDescent="0.35">
      <c r="A758" t="s">
        <v>4051</v>
      </c>
      <c r="B758" s="4" t="s">
        <v>3185</v>
      </c>
      <c r="C758" t="s">
        <v>3298</v>
      </c>
      <c r="D758">
        <v>9</v>
      </c>
      <c r="E758" s="9">
        <v>135</v>
      </c>
      <c r="F758">
        <v>3</v>
      </c>
    </row>
    <row r="759" spans="1:6" x14ac:dyDescent="0.35">
      <c r="A759" t="s">
        <v>4052</v>
      </c>
      <c r="B759" s="4" t="s">
        <v>3191</v>
      </c>
      <c r="C759" t="s">
        <v>3296</v>
      </c>
      <c r="D759">
        <v>42</v>
      </c>
      <c r="E759" s="9">
        <v>420</v>
      </c>
      <c r="F759">
        <v>2</v>
      </c>
    </row>
    <row r="760" spans="1:6" x14ac:dyDescent="0.35">
      <c r="A760" t="s">
        <v>4053</v>
      </c>
      <c r="B760" s="4" t="s">
        <v>3191</v>
      </c>
      <c r="C760" t="s">
        <v>3298</v>
      </c>
      <c r="D760">
        <v>9</v>
      </c>
      <c r="E760" s="9">
        <v>135</v>
      </c>
      <c r="F760">
        <v>3</v>
      </c>
    </row>
    <row r="761" spans="1:6" x14ac:dyDescent="0.35">
      <c r="A761" t="s">
        <v>4054</v>
      </c>
      <c r="B761" s="4" t="s">
        <v>1187</v>
      </c>
      <c r="C761" t="s">
        <v>3292</v>
      </c>
      <c r="D761">
        <v>2</v>
      </c>
      <c r="E761" s="9">
        <v>50</v>
      </c>
      <c r="F761">
        <v>1</v>
      </c>
    </row>
    <row r="762" spans="1:6" x14ac:dyDescent="0.35">
      <c r="A762" t="s">
        <v>4055</v>
      </c>
      <c r="B762" s="4" t="s">
        <v>1187</v>
      </c>
      <c r="C762" t="s">
        <v>3296</v>
      </c>
      <c r="D762">
        <v>45</v>
      </c>
      <c r="E762" s="9">
        <v>450</v>
      </c>
      <c r="F762">
        <v>2</v>
      </c>
    </row>
    <row r="763" spans="1:6" x14ac:dyDescent="0.35">
      <c r="A763" t="s">
        <v>4056</v>
      </c>
      <c r="B763" s="4" t="s">
        <v>1187</v>
      </c>
      <c r="C763" t="s">
        <v>3298</v>
      </c>
      <c r="D763">
        <v>6</v>
      </c>
      <c r="E763" s="9">
        <v>90</v>
      </c>
      <c r="F763">
        <v>3</v>
      </c>
    </row>
    <row r="764" spans="1:6" x14ac:dyDescent="0.35">
      <c r="A764" t="s">
        <v>4057</v>
      </c>
      <c r="B764" s="4" t="s">
        <v>1196</v>
      </c>
      <c r="C764" t="s">
        <v>3292</v>
      </c>
      <c r="D764">
        <v>3</v>
      </c>
      <c r="E764" s="9">
        <v>75</v>
      </c>
      <c r="F764">
        <v>1</v>
      </c>
    </row>
    <row r="765" spans="1:6" x14ac:dyDescent="0.35">
      <c r="A765" t="s">
        <v>4058</v>
      </c>
      <c r="B765" s="4" t="s">
        <v>1196</v>
      </c>
      <c r="C765" t="s">
        <v>3296</v>
      </c>
      <c r="D765">
        <v>39</v>
      </c>
      <c r="E765" s="9">
        <v>390</v>
      </c>
      <c r="F765">
        <v>2</v>
      </c>
    </row>
    <row r="766" spans="1:6" x14ac:dyDescent="0.35">
      <c r="A766" t="s">
        <v>4059</v>
      </c>
      <c r="B766" s="4" t="s">
        <v>1196</v>
      </c>
      <c r="C766" t="s">
        <v>3298</v>
      </c>
      <c r="D766">
        <v>6</v>
      </c>
      <c r="E766" s="9">
        <v>90</v>
      </c>
      <c r="F766">
        <v>3</v>
      </c>
    </row>
    <row r="767" spans="1:6" x14ac:dyDescent="0.35">
      <c r="A767" t="s">
        <v>4060</v>
      </c>
      <c r="B767" s="4" t="s">
        <v>1208</v>
      </c>
      <c r="C767" t="s">
        <v>3292</v>
      </c>
      <c r="D767">
        <v>2</v>
      </c>
      <c r="E767" s="9">
        <v>50</v>
      </c>
      <c r="F767">
        <v>1</v>
      </c>
    </row>
    <row r="768" spans="1:6" x14ac:dyDescent="0.35">
      <c r="A768" t="s">
        <v>4061</v>
      </c>
      <c r="B768" s="4" t="s">
        <v>1208</v>
      </c>
      <c r="C768" t="s">
        <v>3294</v>
      </c>
      <c r="D768">
        <v>3</v>
      </c>
      <c r="E768" s="9">
        <v>90</v>
      </c>
      <c r="F768">
        <v>1</v>
      </c>
    </row>
    <row r="769" spans="1:6" x14ac:dyDescent="0.35">
      <c r="A769" t="s">
        <v>4062</v>
      </c>
      <c r="B769" s="4" t="s">
        <v>1208</v>
      </c>
      <c r="C769" t="s">
        <v>3296</v>
      </c>
      <c r="D769">
        <v>30</v>
      </c>
      <c r="E769" s="9">
        <v>300</v>
      </c>
      <c r="F769">
        <v>2</v>
      </c>
    </row>
    <row r="770" spans="1:6" x14ac:dyDescent="0.35">
      <c r="A770" t="s">
        <v>4063</v>
      </c>
      <c r="B770" s="4" t="s">
        <v>1208</v>
      </c>
      <c r="C770" t="s">
        <v>3298</v>
      </c>
      <c r="D770">
        <v>6</v>
      </c>
      <c r="E770" s="9">
        <v>90</v>
      </c>
      <c r="F770">
        <v>3</v>
      </c>
    </row>
    <row r="771" spans="1:6" x14ac:dyDescent="0.35">
      <c r="A771" t="s">
        <v>4064</v>
      </c>
      <c r="B771" s="4" t="s">
        <v>1229</v>
      </c>
      <c r="C771" t="s">
        <v>3296</v>
      </c>
      <c r="D771">
        <v>35</v>
      </c>
      <c r="E771" s="9">
        <v>350</v>
      </c>
      <c r="F771">
        <v>2</v>
      </c>
    </row>
    <row r="772" spans="1:6" x14ac:dyDescent="0.35">
      <c r="A772" t="s">
        <v>4065</v>
      </c>
      <c r="B772" s="4" t="s">
        <v>1229</v>
      </c>
      <c r="C772" t="s">
        <v>3298</v>
      </c>
      <c r="D772">
        <v>9</v>
      </c>
      <c r="E772" s="9">
        <v>135</v>
      </c>
      <c r="F772">
        <v>3</v>
      </c>
    </row>
    <row r="773" spans="1:6" x14ac:dyDescent="0.35">
      <c r="A773" t="s">
        <v>4066</v>
      </c>
      <c r="B773" s="4" t="s">
        <v>1235</v>
      </c>
      <c r="C773" t="s">
        <v>3292</v>
      </c>
      <c r="D773">
        <v>3</v>
      </c>
      <c r="E773" s="9">
        <v>75</v>
      </c>
      <c r="F773">
        <v>1</v>
      </c>
    </row>
    <row r="774" spans="1:6" x14ac:dyDescent="0.35">
      <c r="A774" t="s">
        <v>4067</v>
      </c>
      <c r="B774" s="4" t="s">
        <v>1235</v>
      </c>
      <c r="C774" t="s">
        <v>3294</v>
      </c>
      <c r="D774">
        <v>3</v>
      </c>
      <c r="E774" s="9">
        <v>90</v>
      </c>
      <c r="F774">
        <v>1</v>
      </c>
    </row>
    <row r="775" spans="1:6" x14ac:dyDescent="0.35">
      <c r="A775" t="s">
        <v>4068</v>
      </c>
      <c r="B775" s="4" t="s">
        <v>1235</v>
      </c>
      <c r="C775" t="s">
        <v>3296</v>
      </c>
      <c r="D775">
        <v>34</v>
      </c>
      <c r="E775" s="9">
        <v>340</v>
      </c>
      <c r="F775">
        <v>2</v>
      </c>
    </row>
    <row r="776" spans="1:6" x14ac:dyDescent="0.35">
      <c r="A776" t="s">
        <v>4069</v>
      </c>
      <c r="B776" s="4" t="s">
        <v>1235</v>
      </c>
      <c r="C776" t="s">
        <v>3298</v>
      </c>
      <c r="D776">
        <v>8</v>
      </c>
      <c r="E776" s="9">
        <v>120</v>
      </c>
      <c r="F776">
        <v>3</v>
      </c>
    </row>
    <row r="777" spans="1:6" x14ac:dyDescent="0.35">
      <c r="A777" t="s">
        <v>4070</v>
      </c>
      <c r="B777" s="4" t="s">
        <v>1237</v>
      </c>
      <c r="C777" t="s">
        <v>3294</v>
      </c>
      <c r="D777">
        <v>2</v>
      </c>
      <c r="E777" s="9">
        <v>60</v>
      </c>
      <c r="F777">
        <v>1</v>
      </c>
    </row>
    <row r="778" spans="1:6" x14ac:dyDescent="0.35">
      <c r="A778" t="s">
        <v>4071</v>
      </c>
      <c r="B778" s="4" t="s">
        <v>1237</v>
      </c>
      <c r="C778" t="s">
        <v>3296</v>
      </c>
      <c r="D778">
        <v>37</v>
      </c>
      <c r="E778" s="9">
        <v>370</v>
      </c>
      <c r="F778">
        <v>2</v>
      </c>
    </row>
    <row r="779" spans="1:6" x14ac:dyDescent="0.35">
      <c r="A779" t="s">
        <v>4072</v>
      </c>
      <c r="B779" s="4" t="s">
        <v>1237</v>
      </c>
      <c r="C779" t="s">
        <v>3298</v>
      </c>
      <c r="D779">
        <v>5</v>
      </c>
      <c r="E779" s="9">
        <v>75</v>
      </c>
      <c r="F779">
        <v>3</v>
      </c>
    </row>
    <row r="780" spans="1:6" x14ac:dyDescent="0.35">
      <c r="A780" t="s">
        <v>4073</v>
      </c>
      <c r="B780" s="4" t="s">
        <v>3232</v>
      </c>
      <c r="C780" t="s">
        <v>3292</v>
      </c>
      <c r="D780">
        <v>3</v>
      </c>
      <c r="E780" s="9">
        <v>75</v>
      </c>
      <c r="F780">
        <v>1</v>
      </c>
    </row>
    <row r="781" spans="1:6" x14ac:dyDescent="0.35">
      <c r="A781" t="s">
        <v>4074</v>
      </c>
      <c r="B781" s="4" t="s">
        <v>3232</v>
      </c>
      <c r="C781" t="s">
        <v>3294</v>
      </c>
      <c r="D781">
        <v>1</v>
      </c>
      <c r="E781" s="9">
        <v>30</v>
      </c>
      <c r="F781">
        <v>1</v>
      </c>
    </row>
    <row r="782" spans="1:6" x14ac:dyDescent="0.35">
      <c r="A782" t="s">
        <v>4075</v>
      </c>
      <c r="B782" s="4" t="s">
        <v>3232</v>
      </c>
      <c r="C782" t="s">
        <v>3296</v>
      </c>
      <c r="D782">
        <v>41</v>
      </c>
      <c r="E782" s="9">
        <v>410</v>
      </c>
      <c r="F782">
        <v>2</v>
      </c>
    </row>
    <row r="783" spans="1:6" x14ac:dyDescent="0.35">
      <c r="A783" t="s">
        <v>4076</v>
      </c>
      <c r="B783" s="4" t="s">
        <v>3232</v>
      </c>
      <c r="C783" t="s">
        <v>3298</v>
      </c>
      <c r="D783">
        <v>8</v>
      </c>
      <c r="E783" s="9">
        <v>120</v>
      </c>
      <c r="F783">
        <v>3</v>
      </c>
    </row>
    <row r="784" spans="1:6" x14ac:dyDescent="0.35">
      <c r="A784" t="s">
        <v>4077</v>
      </c>
      <c r="B784" s="4" t="s">
        <v>1239</v>
      </c>
      <c r="C784" t="s">
        <v>3292</v>
      </c>
      <c r="D784">
        <v>5</v>
      </c>
      <c r="E784" s="9">
        <v>125</v>
      </c>
      <c r="F784">
        <v>1</v>
      </c>
    </row>
    <row r="785" spans="1:8" x14ac:dyDescent="0.35">
      <c r="A785" t="s">
        <v>4078</v>
      </c>
      <c r="B785" s="4" t="s">
        <v>1239</v>
      </c>
      <c r="C785" t="s">
        <v>3296</v>
      </c>
      <c r="D785">
        <v>31</v>
      </c>
      <c r="E785" s="9">
        <v>310</v>
      </c>
      <c r="F785">
        <v>2</v>
      </c>
    </row>
    <row r="786" spans="1:8" x14ac:dyDescent="0.35">
      <c r="A786" t="s">
        <v>4079</v>
      </c>
      <c r="B786" s="4" t="s">
        <v>1239</v>
      </c>
      <c r="C786" t="s">
        <v>3298</v>
      </c>
      <c r="D786">
        <v>7</v>
      </c>
      <c r="E786" s="9">
        <v>105</v>
      </c>
      <c r="F786">
        <v>3</v>
      </c>
      <c r="H786" s="4"/>
    </row>
    <row r="787" spans="1:8" x14ac:dyDescent="0.35">
      <c r="A787" t="s">
        <v>4080</v>
      </c>
      <c r="B787" s="4" t="s">
        <v>1248</v>
      </c>
      <c r="C787" t="s">
        <v>3292</v>
      </c>
      <c r="D787">
        <v>4</v>
      </c>
      <c r="E787" s="9">
        <v>100</v>
      </c>
      <c r="F787">
        <v>1</v>
      </c>
    </row>
    <row r="788" spans="1:8" x14ac:dyDescent="0.35">
      <c r="A788" t="s">
        <v>4081</v>
      </c>
      <c r="B788" s="4" t="s">
        <v>1248</v>
      </c>
      <c r="C788" t="s">
        <v>3296</v>
      </c>
      <c r="D788">
        <v>38</v>
      </c>
      <c r="E788" s="9">
        <v>380</v>
      </c>
      <c r="F788">
        <v>2</v>
      </c>
    </row>
    <row r="789" spans="1:8" x14ac:dyDescent="0.35">
      <c r="A789" t="s">
        <v>4082</v>
      </c>
      <c r="B789" s="4" t="s">
        <v>1248</v>
      </c>
      <c r="C789" t="s">
        <v>3298</v>
      </c>
      <c r="D789">
        <v>9</v>
      </c>
      <c r="E789" s="9">
        <v>135</v>
      </c>
      <c r="F789">
        <v>3</v>
      </c>
    </row>
    <row r="790" spans="1:8" x14ac:dyDescent="0.35">
      <c r="A790" t="s">
        <v>4083</v>
      </c>
      <c r="B790" s="4" t="s">
        <v>1253</v>
      </c>
      <c r="C790" t="s">
        <v>3294</v>
      </c>
      <c r="D790">
        <v>3</v>
      </c>
      <c r="E790" s="9">
        <v>90</v>
      </c>
      <c r="F790">
        <v>1</v>
      </c>
    </row>
    <row r="791" spans="1:8" x14ac:dyDescent="0.35">
      <c r="A791" t="s">
        <v>4084</v>
      </c>
      <c r="B791" s="4" t="s">
        <v>1253</v>
      </c>
      <c r="C791" t="s">
        <v>3296</v>
      </c>
      <c r="D791">
        <v>42</v>
      </c>
      <c r="E791" s="9">
        <v>420</v>
      </c>
      <c r="F791">
        <v>2</v>
      </c>
    </row>
    <row r="792" spans="1:8" x14ac:dyDescent="0.35">
      <c r="A792" t="s">
        <v>4085</v>
      </c>
      <c r="B792" s="4" t="s">
        <v>1253</v>
      </c>
      <c r="C792" t="s">
        <v>3298</v>
      </c>
      <c r="D792">
        <v>7</v>
      </c>
      <c r="E792" s="9">
        <v>105</v>
      </c>
      <c r="F792">
        <v>3</v>
      </c>
    </row>
    <row r="793" spans="1:8" x14ac:dyDescent="0.35">
      <c r="A793" t="s">
        <v>4086</v>
      </c>
      <c r="B793" s="4" t="s">
        <v>1256</v>
      </c>
      <c r="C793" t="s">
        <v>3296</v>
      </c>
      <c r="D793">
        <v>32</v>
      </c>
      <c r="E793" s="9">
        <v>320</v>
      </c>
      <c r="F793">
        <v>2</v>
      </c>
    </row>
    <row r="794" spans="1:8" x14ac:dyDescent="0.35">
      <c r="A794" t="s">
        <v>4087</v>
      </c>
      <c r="B794" s="4" t="s">
        <v>1256</v>
      </c>
      <c r="C794" t="s">
        <v>3298</v>
      </c>
      <c r="D794">
        <v>9</v>
      </c>
      <c r="E794" s="9">
        <v>135</v>
      </c>
      <c r="F794">
        <v>3</v>
      </c>
    </row>
    <row r="795" spans="1:8" x14ac:dyDescent="0.35">
      <c r="A795" t="s">
        <v>4088</v>
      </c>
      <c r="B795" s="4" t="s">
        <v>1262</v>
      </c>
      <c r="C795" t="s">
        <v>3292</v>
      </c>
      <c r="D795">
        <v>3</v>
      </c>
      <c r="E795" s="9">
        <v>75</v>
      </c>
      <c r="F795">
        <v>1</v>
      </c>
    </row>
    <row r="796" spans="1:8" x14ac:dyDescent="0.35">
      <c r="A796" t="s">
        <v>4089</v>
      </c>
      <c r="B796" s="4" t="s">
        <v>1262</v>
      </c>
      <c r="C796" t="s">
        <v>3296</v>
      </c>
      <c r="D796">
        <v>41</v>
      </c>
      <c r="E796" s="9">
        <v>410</v>
      </c>
      <c r="F796">
        <v>2</v>
      </c>
    </row>
    <row r="797" spans="1:8" x14ac:dyDescent="0.35">
      <c r="A797" t="s">
        <v>4090</v>
      </c>
      <c r="B797" s="4" t="s">
        <v>1262</v>
      </c>
      <c r="C797" t="s">
        <v>3298</v>
      </c>
      <c r="D797">
        <v>7</v>
      </c>
      <c r="E797" s="9">
        <v>105</v>
      </c>
      <c r="F797">
        <v>3</v>
      </c>
    </row>
    <row r="798" spans="1:8" x14ac:dyDescent="0.35">
      <c r="A798" t="s">
        <v>4091</v>
      </c>
      <c r="B798" s="4" t="s">
        <v>1272</v>
      </c>
      <c r="C798" t="s">
        <v>3292</v>
      </c>
      <c r="D798">
        <v>5</v>
      </c>
      <c r="E798" s="9">
        <v>125</v>
      </c>
      <c r="F798">
        <v>1</v>
      </c>
    </row>
    <row r="799" spans="1:8" x14ac:dyDescent="0.35">
      <c r="A799" t="s">
        <v>4092</v>
      </c>
      <c r="B799" s="4" t="s">
        <v>1272</v>
      </c>
      <c r="C799" t="s">
        <v>3296</v>
      </c>
      <c r="D799">
        <v>30</v>
      </c>
      <c r="E799" s="9">
        <v>300</v>
      </c>
      <c r="F799">
        <v>2</v>
      </c>
    </row>
    <row r="800" spans="1:8" x14ac:dyDescent="0.35">
      <c r="A800" t="s">
        <v>4093</v>
      </c>
      <c r="B800" s="4" t="s">
        <v>1272</v>
      </c>
      <c r="C800" t="s">
        <v>3298</v>
      </c>
      <c r="D800">
        <v>9</v>
      </c>
      <c r="E800" s="9">
        <v>135</v>
      </c>
      <c r="F800">
        <v>3</v>
      </c>
    </row>
    <row r="801" spans="1:6" x14ac:dyDescent="0.35">
      <c r="A801" t="s">
        <v>4094</v>
      </c>
      <c r="B801" s="4" t="s">
        <v>1303</v>
      </c>
      <c r="C801" t="s">
        <v>3296</v>
      </c>
      <c r="D801">
        <v>37</v>
      </c>
      <c r="E801" s="9">
        <v>370</v>
      </c>
      <c r="F801">
        <v>2</v>
      </c>
    </row>
    <row r="802" spans="1:6" x14ac:dyDescent="0.35">
      <c r="A802" t="s">
        <v>4095</v>
      </c>
      <c r="B802" s="4" t="s">
        <v>1303</v>
      </c>
      <c r="C802" t="s">
        <v>3298</v>
      </c>
      <c r="D802">
        <v>5</v>
      </c>
      <c r="E802" s="9">
        <v>75</v>
      </c>
      <c r="F802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workbookViewId="0">
      <pane ySplit="1" topLeftCell="A34" activePane="bottomLeft" state="frozen"/>
      <selection pane="bottomLeft" sqref="A1:G36"/>
    </sheetView>
  </sheetViews>
  <sheetFormatPr defaultRowHeight="14.5" x14ac:dyDescent="0.35"/>
  <cols>
    <col min="1" max="1" width="13" customWidth="1"/>
    <col min="2" max="2" width="28" customWidth="1"/>
    <col min="3" max="3" width="15" customWidth="1"/>
    <col min="4" max="5" width="14" customWidth="1"/>
    <col min="6" max="6" width="19" customWidth="1"/>
    <col min="7" max="7" width="8" style="9" customWidth="1"/>
  </cols>
  <sheetData>
    <row r="1" spans="1:7" x14ac:dyDescent="0.35">
      <c r="A1" s="2" t="s">
        <v>34</v>
      </c>
      <c r="B1" s="2" t="s">
        <v>4099</v>
      </c>
      <c r="C1" s="2" t="s">
        <v>4096</v>
      </c>
      <c r="D1" s="2" t="s">
        <v>1</v>
      </c>
      <c r="E1" s="2" t="s">
        <v>39</v>
      </c>
      <c r="F1" s="2" t="s">
        <v>4097</v>
      </c>
      <c r="G1" s="8" t="s">
        <v>4098</v>
      </c>
    </row>
    <row r="2" spans="1:7" x14ac:dyDescent="0.35">
      <c r="A2">
        <v>1</v>
      </c>
      <c r="B2" t="s">
        <v>4099</v>
      </c>
      <c r="C2" t="s">
        <v>4100</v>
      </c>
      <c r="D2" t="s">
        <v>4101</v>
      </c>
      <c r="E2">
        <v>1</v>
      </c>
      <c r="F2">
        <v>8</v>
      </c>
      <c r="G2" s="9">
        <v>2.5</v>
      </c>
    </row>
    <row r="3" spans="1:7" x14ac:dyDescent="0.35">
      <c r="A3">
        <v>2</v>
      </c>
      <c r="B3" t="s">
        <v>4102</v>
      </c>
      <c r="C3" t="s">
        <v>4100</v>
      </c>
      <c r="D3" t="s">
        <v>4101</v>
      </c>
      <c r="E3">
        <v>1</v>
      </c>
      <c r="F3">
        <v>8</v>
      </c>
      <c r="G3" s="9">
        <v>2.75</v>
      </c>
    </row>
    <row r="4" spans="1:7" x14ac:dyDescent="0.35">
      <c r="A4">
        <v>3</v>
      </c>
      <c r="B4" t="s">
        <v>4103</v>
      </c>
      <c r="C4" t="s">
        <v>4100</v>
      </c>
      <c r="D4" t="s">
        <v>4101</v>
      </c>
      <c r="E4">
        <v>2</v>
      </c>
      <c r="F4">
        <v>7</v>
      </c>
      <c r="G4" s="9">
        <v>3</v>
      </c>
    </row>
    <row r="5" spans="1:7" x14ac:dyDescent="0.35">
      <c r="A5">
        <v>4</v>
      </c>
      <c r="B5" t="s">
        <v>4104</v>
      </c>
      <c r="C5" t="s">
        <v>4105</v>
      </c>
      <c r="D5" t="s">
        <v>4106</v>
      </c>
      <c r="E5">
        <v>3</v>
      </c>
      <c r="F5">
        <v>5</v>
      </c>
      <c r="G5" s="9">
        <v>0.02</v>
      </c>
    </row>
    <row r="6" spans="1:7" x14ac:dyDescent="0.35">
      <c r="A6">
        <v>5</v>
      </c>
      <c r="B6" t="s">
        <v>4107</v>
      </c>
      <c r="C6" t="s">
        <v>4105</v>
      </c>
      <c r="D6" t="s">
        <v>4106</v>
      </c>
      <c r="E6">
        <v>3</v>
      </c>
      <c r="F6">
        <v>5</v>
      </c>
      <c r="G6" s="9">
        <v>0.01</v>
      </c>
    </row>
    <row r="7" spans="1:7" x14ac:dyDescent="0.35">
      <c r="A7">
        <v>6</v>
      </c>
      <c r="B7" t="s">
        <v>4108</v>
      </c>
      <c r="C7" t="s">
        <v>4109</v>
      </c>
      <c r="D7" t="s">
        <v>4106</v>
      </c>
      <c r="E7">
        <v>4</v>
      </c>
      <c r="F7">
        <v>5</v>
      </c>
      <c r="G7" s="9">
        <v>0.4</v>
      </c>
    </row>
    <row r="8" spans="1:7" x14ac:dyDescent="0.35">
      <c r="A8">
        <v>7</v>
      </c>
      <c r="B8" t="s">
        <v>4110</v>
      </c>
      <c r="C8" t="s">
        <v>4109</v>
      </c>
      <c r="D8" t="s">
        <v>4106</v>
      </c>
      <c r="E8">
        <v>4</v>
      </c>
      <c r="F8">
        <v>5</v>
      </c>
      <c r="G8" s="9">
        <v>0.4</v>
      </c>
    </row>
    <row r="9" spans="1:7" x14ac:dyDescent="0.35">
      <c r="A9">
        <v>8</v>
      </c>
      <c r="B9" t="s">
        <v>4111</v>
      </c>
      <c r="C9" t="s">
        <v>4109</v>
      </c>
      <c r="D9" t="s">
        <v>4106</v>
      </c>
      <c r="E9">
        <v>4</v>
      </c>
      <c r="F9">
        <v>5</v>
      </c>
      <c r="G9" s="9">
        <v>0.4</v>
      </c>
    </row>
    <row r="10" spans="1:7" x14ac:dyDescent="0.35">
      <c r="A10">
        <v>9</v>
      </c>
      <c r="B10" t="s">
        <v>4112</v>
      </c>
      <c r="C10" t="s">
        <v>4105</v>
      </c>
      <c r="D10" t="s">
        <v>4106</v>
      </c>
      <c r="E10">
        <v>3</v>
      </c>
      <c r="F10">
        <v>5</v>
      </c>
      <c r="G10" s="9">
        <v>0.08</v>
      </c>
    </row>
    <row r="11" spans="1:7" x14ac:dyDescent="0.35">
      <c r="A11">
        <v>10</v>
      </c>
      <c r="B11" t="s">
        <v>4113</v>
      </c>
      <c r="C11" t="s">
        <v>4105</v>
      </c>
      <c r="D11" t="s">
        <v>4106</v>
      </c>
      <c r="E11">
        <v>3</v>
      </c>
      <c r="F11">
        <v>5</v>
      </c>
      <c r="G11" s="9">
        <v>0.1</v>
      </c>
    </row>
    <row r="12" spans="1:7" x14ac:dyDescent="0.35">
      <c r="A12">
        <v>11</v>
      </c>
      <c r="B12" t="s">
        <v>4114</v>
      </c>
      <c r="C12" t="s">
        <v>4109</v>
      </c>
      <c r="D12" t="s">
        <v>4106</v>
      </c>
      <c r="E12">
        <v>4</v>
      </c>
      <c r="F12">
        <v>5</v>
      </c>
      <c r="G12" s="9">
        <v>0.05</v>
      </c>
    </row>
    <row r="13" spans="1:7" x14ac:dyDescent="0.35">
      <c r="A13">
        <v>12</v>
      </c>
      <c r="B13" t="s">
        <v>4115</v>
      </c>
      <c r="C13" t="s">
        <v>4105</v>
      </c>
      <c r="D13" t="s">
        <v>4106</v>
      </c>
      <c r="E13">
        <v>3</v>
      </c>
      <c r="F13">
        <v>5</v>
      </c>
      <c r="G13" s="9">
        <v>0.02</v>
      </c>
    </row>
    <row r="14" spans="1:7" x14ac:dyDescent="0.35">
      <c r="A14">
        <v>13</v>
      </c>
      <c r="B14" t="s">
        <v>4116</v>
      </c>
      <c r="C14" t="s">
        <v>4117</v>
      </c>
      <c r="D14" t="s">
        <v>4106</v>
      </c>
      <c r="E14">
        <v>2</v>
      </c>
      <c r="F14">
        <v>7</v>
      </c>
      <c r="G14" s="9">
        <v>15</v>
      </c>
    </row>
    <row r="15" spans="1:7" x14ac:dyDescent="0.35">
      <c r="A15">
        <v>14</v>
      </c>
      <c r="B15" t="s">
        <v>4118</v>
      </c>
      <c r="C15" t="s">
        <v>4117</v>
      </c>
      <c r="D15" t="s">
        <v>4106</v>
      </c>
      <c r="E15">
        <v>3</v>
      </c>
      <c r="F15">
        <v>5</v>
      </c>
      <c r="G15" s="9">
        <v>5</v>
      </c>
    </row>
    <row r="16" spans="1:7" x14ac:dyDescent="0.35">
      <c r="A16">
        <v>15</v>
      </c>
      <c r="B16" t="s">
        <v>4119</v>
      </c>
      <c r="C16" t="s">
        <v>4105</v>
      </c>
      <c r="D16" t="s">
        <v>4106</v>
      </c>
      <c r="E16">
        <v>1</v>
      </c>
      <c r="F16">
        <v>8</v>
      </c>
      <c r="G16" s="9">
        <v>0.15</v>
      </c>
    </row>
    <row r="17" spans="1:7" x14ac:dyDescent="0.35">
      <c r="A17">
        <v>16</v>
      </c>
      <c r="B17" t="s">
        <v>4120</v>
      </c>
      <c r="C17" t="s">
        <v>4105</v>
      </c>
      <c r="D17" t="s">
        <v>4106</v>
      </c>
      <c r="E17">
        <v>1</v>
      </c>
      <c r="F17">
        <v>8</v>
      </c>
      <c r="G17" s="9">
        <v>0.15</v>
      </c>
    </row>
    <row r="18" spans="1:7" x14ac:dyDescent="0.35">
      <c r="A18">
        <v>17</v>
      </c>
      <c r="B18" t="s">
        <v>4121</v>
      </c>
      <c r="C18" t="s">
        <v>4100</v>
      </c>
      <c r="D18" t="s">
        <v>4101</v>
      </c>
      <c r="E18">
        <v>2</v>
      </c>
      <c r="F18">
        <v>7</v>
      </c>
      <c r="G18" s="9">
        <v>1.5</v>
      </c>
    </row>
    <row r="19" spans="1:7" x14ac:dyDescent="0.35">
      <c r="A19">
        <v>18</v>
      </c>
      <c r="B19" t="s">
        <v>4122</v>
      </c>
      <c r="C19" t="s">
        <v>4100</v>
      </c>
      <c r="D19" t="s">
        <v>4101</v>
      </c>
      <c r="E19">
        <v>4</v>
      </c>
      <c r="F19">
        <v>7</v>
      </c>
      <c r="G19" s="9">
        <v>2</v>
      </c>
    </row>
    <row r="20" spans="1:7" x14ac:dyDescent="0.35">
      <c r="A20">
        <v>19</v>
      </c>
      <c r="B20" t="s">
        <v>4123</v>
      </c>
      <c r="C20" t="s">
        <v>4117</v>
      </c>
      <c r="D20" t="s">
        <v>4106</v>
      </c>
      <c r="E20">
        <v>3</v>
      </c>
      <c r="F20">
        <v>5</v>
      </c>
      <c r="G20" s="9">
        <v>8</v>
      </c>
    </row>
    <row r="21" spans="1:7" x14ac:dyDescent="0.35">
      <c r="A21">
        <v>20</v>
      </c>
      <c r="B21" t="s">
        <v>4124</v>
      </c>
      <c r="C21" t="s">
        <v>4105</v>
      </c>
      <c r="D21" t="s">
        <v>4106</v>
      </c>
      <c r="E21">
        <v>3</v>
      </c>
      <c r="F21">
        <v>5</v>
      </c>
      <c r="G21" s="9">
        <v>0.01</v>
      </c>
    </row>
    <row r="22" spans="1:7" x14ac:dyDescent="0.35">
      <c r="A22">
        <v>21</v>
      </c>
      <c r="B22" t="s">
        <v>4125</v>
      </c>
      <c r="C22" t="s">
        <v>4105</v>
      </c>
      <c r="D22" t="s">
        <v>4106</v>
      </c>
      <c r="E22">
        <v>3</v>
      </c>
      <c r="F22">
        <v>5</v>
      </c>
      <c r="G22" s="9">
        <v>0.02</v>
      </c>
    </row>
    <row r="23" spans="1:7" x14ac:dyDescent="0.35">
      <c r="A23">
        <v>22</v>
      </c>
      <c r="B23" t="s">
        <v>4126</v>
      </c>
      <c r="C23" t="s">
        <v>4105</v>
      </c>
      <c r="D23" t="s">
        <v>4106</v>
      </c>
      <c r="E23">
        <v>3</v>
      </c>
      <c r="F23">
        <v>5</v>
      </c>
      <c r="G23" s="9">
        <v>0.04</v>
      </c>
    </row>
    <row r="24" spans="1:7" x14ac:dyDescent="0.35">
      <c r="A24">
        <v>23</v>
      </c>
      <c r="B24" t="s">
        <v>4127</v>
      </c>
      <c r="C24" t="s">
        <v>4128</v>
      </c>
      <c r="D24" t="s">
        <v>4128</v>
      </c>
      <c r="E24">
        <v>2</v>
      </c>
      <c r="F24">
        <v>14</v>
      </c>
      <c r="G24" s="9">
        <v>85</v>
      </c>
    </row>
    <row r="25" spans="1:7" x14ac:dyDescent="0.35">
      <c r="A25">
        <v>24</v>
      </c>
      <c r="B25" t="s">
        <v>4129</v>
      </c>
      <c r="C25" t="s">
        <v>4105</v>
      </c>
      <c r="D25" t="s">
        <v>4106</v>
      </c>
      <c r="E25">
        <v>3</v>
      </c>
      <c r="F25">
        <v>5</v>
      </c>
      <c r="G25" s="9">
        <v>12</v>
      </c>
    </row>
    <row r="26" spans="1:7" x14ac:dyDescent="0.35">
      <c r="A26">
        <v>25</v>
      </c>
      <c r="B26" t="s">
        <v>4130</v>
      </c>
      <c r="C26" t="s">
        <v>4109</v>
      </c>
      <c r="D26" t="s">
        <v>4106</v>
      </c>
      <c r="E26">
        <v>4</v>
      </c>
      <c r="F26">
        <v>5</v>
      </c>
      <c r="G26" s="9">
        <v>3.5</v>
      </c>
    </row>
    <row r="27" spans="1:7" x14ac:dyDescent="0.35">
      <c r="A27">
        <v>26</v>
      </c>
      <c r="B27" t="s">
        <v>4131</v>
      </c>
      <c r="C27" t="s">
        <v>4109</v>
      </c>
      <c r="D27" t="s">
        <v>4106</v>
      </c>
      <c r="E27">
        <v>4</v>
      </c>
      <c r="F27">
        <v>5</v>
      </c>
      <c r="G27" s="9">
        <v>0.25</v>
      </c>
    </row>
    <row r="28" spans="1:7" x14ac:dyDescent="0.35">
      <c r="A28">
        <v>27</v>
      </c>
      <c r="B28" t="s">
        <v>4132</v>
      </c>
      <c r="C28" t="s">
        <v>4128</v>
      </c>
      <c r="D28" t="s">
        <v>4128</v>
      </c>
      <c r="E28">
        <v>4</v>
      </c>
      <c r="F28">
        <v>14</v>
      </c>
      <c r="G28" s="9">
        <v>22</v>
      </c>
    </row>
    <row r="29" spans="1:7" x14ac:dyDescent="0.35">
      <c r="A29">
        <v>28</v>
      </c>
      <c r="B29" t="s">
        <v>4133</v>
      </c>
      <c r="C29" t="s">
        <v>4109</v>
      </c>
      <c r="D29" t="s">
        <v>4106</v>
      </c>
      <c r="E29">
        <v>2</v>
      </c>
      <c r="F29">
        <v>7</v>
      </c>
      <c r="G29" s="9">
        <v>0.5</v>
      </c>
    </row>
    <row r="30" spans="1:7" x14ac:dyDescent="0.35">
      <c r="A30">
        <v>29</v>
      </c>
      <c r="B30" t="s">
        <v>4134</v>
      </c>
      <c r="C30" t="s">
        <v>4128</v>
      </c>
      <c r="D30" t="s">
        <v>4128</v>
      </c>
      <c r="E30">
        <v>4</v>
      </c>
      <c r="F30">
        <v>14</v>
      </c>
      <c r="G30" s="9">
        <v>65</v>
      </c>
    </row>
    <row r="31" spans="1:7" x14ac:dyDescent="0.35">
      <c r="A31">
        <v>30</v>
      </c>
      <c r="B31" t="s">
        <v>4135</v>
      </c>
      <c r="C31" t="s">
        <v>4128</v>
      </c>
      <c r="D31" t="s">
        <v>4128</v>
      </c>
      <c r="E31">
        <v>2</v>
      </c>
      <c r="F31">
        <v>7</v>
      </c>
      <c r="G31" s="9">
        <v>28</v>
      </c>
    </row>
    <row r="32" spans="1:7" x14ac:dyDescent="0.35">
      <c r="A32">
        <v>31</v>
      </c>
      <c r="B32" t="s">
        <v>4136</v>
      </c>
      <c r="C32" t="s">
        <v>4128</v>
      </c>
      <c r="D32" t="s">
        <v>4128</v>
      </c>
      <c r="E32">
        <v>3</v>
      </c>
      <c r="F32">
        <v>14</v>
      </c>
      <c r="G32" s="9">
        <v>35</v>
      </c>
    </row>
    <row r="33" spans="1:7" x14ac:dyDescent="0.35">
      <c r="A33">
        <v>32</v>
      </c>
      <c r="B33" t="s">
        <v>4137</v>
      </c>
      <c r="C33" t="s">
        <v>4109</v>
      </c>
      <c r="D33" t="s">
        <v>4106</v>
      </c>
      <c r="E33">
        <v>4</v>
      </c>
      <c r="F33">
        <v>5</v>
      </c>
      <c r="G33" s="9">
        <v>2.5</v>
      </c>
    </row>
    <row r="34" spans="1:7" x14ac:dyDescent="0.35">
      <c r="A34">
        <v>33</v>
      </c>
      <c r="B34" t="s">
        <v>4138</v>
      </c>
      <c r="C34" t="s">
        <v>4109</v>
      </c>
      <c r="D34" t="s">
        <v>4106</v>
      </c>
      <c r="E34">
        <v>4</v>
      </c>
      <c r="F34">
        <v>5</v>
      </c>
      <c r="G34" s="9">
        <v>1</v>
      </c>
    </row>
    <row r="35" spans="1:7" x14ac:dyDescent="0.35">
      <c r="A35">
        <v>34</v>
      </c>
      <c r="B35" t="s">
        <v>4139</v>
      </c>
      <c r="C35" t="s">
        <v>4109</v>
      </c>
      <c r="D35" t="s">
        <v>4106</v>
      </c>
      <c r="E35">
        <v>4</v>
      </c>
      <c r="F35">
        <v>5</v>
      </c>
      <c r="G35" s="9">
        <v>0.3</v>
      </c>
    </row>
    <row r="36" spans="1:7" x14ac:dyDescent="0.35">
      <c r="A36">
        <v>35</v>
      </c>
      <c r="B36" t="s">
        <v>4140</v>
      </c>
      <c r="C36" t="s">
        <v>4117</v>
      </c>
      <c r="D36" t="s">
        <v>4106</v>
      </c>
      <c r="E36">
        <v>3</v>
      </c>
      <c r="F36">
        <v>5</v>
      </c>
      <c r="G36" s="9">
        <v>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5207-8258-4DBC-BAB6-BFE1155B4D25}">
  <dimension ref="A1:F2"/>
  <sheetViews>
    <sheetView workbookViewId="0">
      <selection activeCell="D17" sqref="D17"/>
    </sheetView>
  </sheetViews>
  <sheetFormatPr defaultRowHeight="14.5" x14ac:dyDescent="0.35"/>
  <cols>
    <col min="1" max="1" width="27.453125" customWidth="1"/>
    <col min="2" max="3" width="17.90625" customWidth="1"/>
    <col min="4" max="4" width="13" customWidth="1"/>
    <col min="5" max="5" width="13.26953125" customWidth="1"/>
    <col min="6" max="6" width="20.26953125" customWidth="1"/>
  </cols>
  <sheetData>
    <row r="1" spans="1:6" x14ac:dyDescent="0.35">
      <c r="A1" s="10" t="s">
        <v>4141</v>
      </c>
      <c r="B1" s="10" t="s">
        <v>4142</v>
      </c>
      <c r="C1" s="10" t="s">
        <v>4144</v>
      </c>
      <c r="D1" s="10" t="s">
        <v>4143</v>
      </c>
      <c r="E1" s="10" t="s">
        <v>4145</v>
      </c>
      <c r="F1" s="10"/>
    </row>
    <row r="2" spans="1:6" x14ac:dyDescent="0.35">
      <c r="A2" s="5">
        <f>AVERAGEIF(Daily_Usage!C:C, 1, Daily_Usage!D:D)</f>
        <v>4.605633802816901</v>
      </c>
      <c r="B2">
        <f>_xlfn.MAXIFS(Daily_Usage!D:D, Daily_Usage!C:C, 1)</f>
        <v>14</v>
      </c>
      <c r="C2">
        <f>VLOOKUP(1, Dim_Products!A:F, 6, FALSE)</f>
        <v>8</v>
      </c>
      <c r="D2">
        <f>(14 * 10) - (4.61 * 8)</f>
        <v>103.12</v>
      </c>
      <c r="E2" s="7">
        <f>(A2 * C2) + D2</f>
        <v>139.96507042253521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5453-AC44-4F17-90FB-ED2AD9166309}">
  <dimension ref="A1:F2"/>
  <sheetViews>
    <sheetView workbookViewId="0">
      <selection activeCell="F2" sqref="F2"/>
    </sheetView>
  </sheetViews>
  <sheetFormatPr defaultRowHeight="14.5" x14ac:dyDescent="0.35"/>
  <cols>
    <col min="1" max="1" width="17.08984375" customWidth="1"/>
    <col min="2" max="2" width="19.81640625" customWidth="1"/>
    <col min="3" max="3" width="18.453125" customWidth="1"/>
    <col min="4" max="4" width="19.81640625" customWidth="1"/>
    <col min="5" max="5" width="20.08984375" customWidth="1"/>
    <col min="6" max="6" width="18.54296875" customWidth="1"/>
  </cols>
  <sheetData>
    <row r="1" spans="1:6" x14ac:dyDescent="0.35">
      <c r="A1" s="10" t="s">
        <v>4147</v>
      </c>
      <c r="B1" s="10" t="s">
        <v>4146</v>
      </c>
      <c r="C1" s="10" t="s">
        <v>4148</v>
      </c>
      <c r="D1" s="10" t="s">
        <v>4149</v>
      </c>
      <c r="E1" s="10" t="s">
        <v>4150</v>
      </c>
      <c r="F1" s="10" t="s">
        <v>4151</v>
      </c>
    </row>
    <row r="2" spans="1:6" x14ac:dyDescent="0.35">
      <c r="A2">
        <f>COUNTIF(Revenue!C4:C243, "Typhoid RDT")</f>
        <v>53</v>
      </c>
      <c r="B2">
        <f>90 - COUNTIF(Revenue!C4:C243, "Typhoid RDT")</f>
        <v>37</v>
      </c>
      <c r="C2">
        <f>COUNTIF(Revenue!C4:C243, "Malaria RDT")</f>
        <v>56</v>
      </c>
      <c r="D2">
        <f>90 - COUNTIF(Revenue!C4:C243, "Malaria RDT")</f>
        <v>34</v>
      </c>
      <c r="E2" s="7">
        <f>(90-COUNTIF(Revenue!C4:C243,"Typhoid RDT"))*4.31</f>
        <v>159.47</v>
      </c>
      <c r="F2" s="7">
        <f>(90 - COUNTIF(Revenue!C4:C243, "Malaria RDT")) * 4.61</f>
        <v>156.74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78FD-123F-4062-AEF1-B2BEF34CBB43}">
  <dimension ref="A1:C2"/>
  <sheetViews>
    <sheetView tabSelected="1" workbookViewId="0">
      <selection activeCell="C1" sqref="C1"/>
    </sheetView>
  </sheetViews>
  <sheetFormatPr defaultRowHeight="14.5" x14ac:dyDescent="0.35"/>
  <cols>
    <col min="1" max="1" width="19.1796875" customWidth="1"/>
    <col min="2" max="2" width="24.6328125" customWidth="1"/>
    <col min="3" max="3" width="20" customWidth="1"/>
  </cols>
  <sheetData>
    <row r="1" spans="1:3" x14ac:dyDescent="0.35">
      <c r="A1" s="11" t="s">
        <v>4152</v>
      </c>
      <c r="B1" s="11" t="s">
        <v>4153</v>
      </c>
      <c r="C1" s="10" t="s">
        <v>4154</v>
      </c>
    </row>
    <row r="2" spans="1:3" x14ac:dyDescent="0.35">
      <c r="A2" s="7">
        <f>('KPI Summary'!B2 - 'KPI Summary'!A2)* 14</f>
        <v>131.52112676056339</v>
      </c>
      <c r="B2" s="7">
        <f xml:space="preserve"> 'KPI Summary'!A2 *14</f>
        <v>64.478873239436609</v>
      </c>
      <c r="C2" s="7">
        <f>(B2 + A2)</f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Inventory_Transactions</vt:lpstr>
      <vt:lpstr>Daily_Usage</vt:lpstr>
      <vt:lpstr>Revenue</vt:lpstr>
      <vt:lpstr>Dim_Products</vt:lpstr>
      <vt:lpstr>KPI Summary</vt:lpstr>
      <vt:lpstr>KPI Summary T2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Gifty Akosua Afudego</cp:lastModifiedBy>
  <dcterms:created xsi:type="dcterms:W3CDTF">2026-06-21T16:32:17Z</dcterms:created>
  <dcterms:modified xsi:type="dcterms:W3CDTF">2026-08-20T15:59:20Z</dcterms:modified>
</cp:coreProperties>
</file>